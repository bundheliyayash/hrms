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J24" i="1"/>
  <c r="H24" i="1"/>
  <c r="H26" i="1" s="1"/>
  <c r="L23" i="1"/>
  <c r="D23" i="1"/>
  <c r="I22" i="1"/>
  <c r="E22" i="1"/>
  <c r="L22" i="1" s="1"/>
  <c r="D22" i="1"/>
  <c r="I21" i="1"/>
  <c r="E21" i="1"/>
  <c r="L21" i="1" s="1"/>
  <c r="D21" i="1"/>
  <c r="I20" i="1"/>
  <c r="E20" i="1"/>
  <c r="L20" i="1" s="1"/>
  <c r="D20" i="1"/>
  <c r="L19" i="1"/>
  <c r="D19" i="1"/>
  <c r="I18" i="1"/>
  <c r="I24" i="1" s="1"/>
  <c r="D18" i="1"/>
  <c r="D17" i="1"/>
  <c r="L17" i="1" s="1"/>
  <c r="L16" i="1"/>
  <c r="D16" i="1"/>
  <c r="D15" i="1"/>
  <c r="L15" i="1" s="1"/>
  <c r="L14" i="1"/>
  <c r="L13" i="1"/>
  <c r="L12" i="1"/>
  <c r="L11" i="1"/>
  <c r="L10" i="1"/>
  <c r="L9" i="1"/>
  <c r="L8" i="1"/>
  <c r="D7" i="1"/>
  <c r="L7" i="1" s="1"/>
  <c r="L6" i="1"/>
  <c r="L5" i="1"/>
  <c r="L4" i="1"/>
  <c r="L3" i="1"/>
  <c r="L18" i="1" l="1"/>
</calcChain>
</file>

<file path=xl/sharedStrings.xml><?xml version="1.0" encoding="utf-8"?>
<sst xmlns="http://schemas.openxmlformats.org/spreadsheetml/2006/main" count="45" uniqueCount="38">
  <si>
    <t>Sr.No.</t>
  </si>
  <si>
    <t>Name</t>
  </si>
  <si>
    <t>Days</t>
  </si>
  <si>
    <t>Gross</t>
  </si>
  <si>
    <t>Basic</t>
  </si>
  <si>
    <t>HRA</t>
  </si>
  <si>
    <t>Washing</t>
  </si>
  <si>
    <t>PF</t>
  </si>
  <si>
    <t>ESIC</t>
  </si>
  <si>
    <t>PT</t>
  </si>
  <si>
    <t>Adv</t>
  </si>
  <si>
    <t>Net</t>
  </si>
  <si>
    <t>Sandip VinodKumar Jotangiya</t>
  </si>
  <si>
    <t>Birva Sandip Jotangiya</t>
  </si>
  <si>
    <t>Ankita Saurabh Jotangiya</t>
  </si>
  <si>
    <t>Nehal Jotangiya</t>
  </si>
  <si>
    <t>Jay Sanghvi</t>
  </si>
  <si>
    <t xml:space="preserve"> </t>
  </si>
  <si>
    <t>Jinal Jaykumar Sanghvi</t>
  </si>
  <si>
    <t>Pritesh Budhelia</t>
  </si>
  <si>
    <t>Fenil Naresh Shamalia</t>
  </si>
  <si>
    <t>Dipak Budhelia</t>
  </si>
  <si>
    <t>Kinnary Modi</t>
  </si>
  <si>
    <t>Sujal Naresh Shamalia</t>
  </si>
  <si>
    <t>Dipak Gawai</t>
  </si>
  <si>
    <t>Dhiraj Maurya</t>
  </si>
  <si>
    <t>Suresh Dhoom</t>
  </si>
  <si>
    <t>Siddharth Thakre</t>
  </si>
  <si>
    <t>Bhaskar Bhoye</t>
  </si>
  <si>
    <t>Deepa Nareshbhai Vaghasiya</t>
  </si>
  <si>
    <t>Hetalben Ranchodbhai Rathod</t>
  </si>
  <si>
    <t>Jaimini Patel</t>
  </si>
  <si>
    <t>Karan Chauhan</t>
  </si>
  <si>
    <t>Ujjavala Koli</t>
  </si>
  <si>
    <t>LESS</t>
  </si>
  <si>
    <t>SURESH &amp; KARAN NOT DEPOSITED AS UAN NOT CONFIRMED</t>
  </si>
  <si>
    <t>AS PER PF CHALLAN</t>
  </si>
  <si>
    <t>Wage Muster for 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</si>
</sst>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3" fillId="0" borderId="0" xfId="1" applyFill="1" applyAlignment="1">
      <alignment horizontal="center"/>
    </xf>
    <xf numFmtId="0" fontId="0" fillId="0" borderId="0" xfId="0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L4" sqref="L4"/>
    </sheetView>
  </sheetViews>
  <sheetFormatPr defaultColWidth="9.1328125" defaultRowHeight="13.5" x14ac:dyDescent="0.35"/>
  <cols>
    <col min="1" max="1" width="9.1328125" style="2"/>
    <col min="2" max="2" width="28.3984375" style="2" customWidth="1"/>
    <col min="3" max="3" width="11" style="2" customWidth="1"/>
    <col min="4" max="4" width="10.73046875" style="2" bestFit="1" customWidth="1"/>
    <col min="5" max="6" width="9.1328125" style="2"/>
    <col min="7" max="7" width="11.265625" style="2" customWidth="1"/>
    <col min="8" max="8" width="9.796875" style="2" bestFit="1" customWidth="1"/>
    <col min="9" max="9" width="9.1328125" style="2"/>
    <col min="10" max="10" width="11.73046875" style="2" customWidth="1"/>
    <col min="11" max="12" width="9.1328125" style="2"/>
    <col min="13" max="13" width="22.86328125" style="2" customWidth="1"/>
    <col min="14" max="14" width="10.73046875" style="2" customWidth="1"/>
    <col min="15" max="15" width="25.06640625" style="2" customWidth="1"/>
    <col min="16" max="16" width="27" style="2" customWidth="1"/>
    <col min="17" max="16384" width="9.1328125" style="2"/>
  </cols>
  <sheetData>
    <row r="1" spans="1:15" x14ac:dyDescent="0.35">
      <c r="A1" s="12" t="s">
        <v>37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"/>
      <c r="N1" s="1"/>
    </row>
    <row r="2" spans="1:1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/>
      <c r="N2" s="1"/>
    </row>
    <row r="3" spans="1:15" x14ac:dyDescent="0.35">
      <c r="A3" s="3">
        <v>1</v>
      </c>
      <c r="B3" s="5" t="s">
        <v>12</v>
      </c>
      <c r="C3" s="3">
        <v>25</v>
      </c>
      <c r="D3" s="3">
        <v>50000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200</v>
      </c>
      <c r="K3" s="3">
        <v>0</v>
      </c>
      <c r="L3" s="3">
        <f>D3-J3</f>
        <v>49800</v>
      </c>
      <c r="M3" s="4"/>
      <c r="N3" s="1"/>
    </row>
    <row r="4" spans="1:15" x14ac:dyDescent="0.35">
      <c r="A4" s="3">
        <v>2</v>
      </c>
      <c r="B4" s="5" t="s">
        <v>13</v>
      </c>
      <c r="C4" s="3">
        <v>25</v>
      </c>
      <c r="D4" s="3">
        <v>50000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</v>
      </c>
      <c r="K4" s="3">
        <v>0</v>
      </c>
      <c r="L4" s="3">
        <f t="shared" ref="L4:L6" si="0">D4-J4</f>
        <v>49800</v>
      </c>
      <c r="M4" s="4"/>
      <c r="N4" s="1"/>
    </row>
    <row r="5" spans="1:15" x14ac:dyDescent="0.35">
      <c r="A5" s="3">
        <v>3</v>
      </c>
      <c r="B5" s="5" t="s">
        <v>14</v>
      </c>
      <c r="C5" s="3">
        <v>25</v>
      </c>
      <c r="D5" s="3">
        <v>50000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200</v>
      </c>
      <c r="K5" s="3">
        <v>0</v>
      </c>
      <c r="L5" s="3">
        <f t="shared" si="0"/>
        <v>49800</v>
      </c>
      <c r="M5" s="4"/>
      <c r="N5" s="1"/>
    </row>
    <row r="6" spans="1:15" x14ac:dyDescent="0.35">
      <c r="A6" s="3">
        <v>4</v>
      </c>
      <c r="B6" s="5" t="s">
        <v>15</v>
      </c>
      <c r="C6" s="3">
        <v>25</v>
      </c>
      <c r="D6" s="3">
        <v>50000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200</v>
      </c>
      <c r="K6" s="3">
        <v>0</v>
      </c>
      <c r="L6" s="3">
        <f t="shared" si="0"/>
        <v>49800</v>
      </c>
      <c r="M6" s="4"/>
      <c r="N6" s="1"/>
    </row>
    <row r="7" spans="1:15" x14ac:dyDescent="0.35">
      <c r="A7" s="3">
        <v>5</v>
      </c>
      <c r="B7" s="5" t="s">
        <v>16</v>
      </c>
      <c r="C7" s="3">
        <v>25</v>
      </c>
      <c r="D7" s="3">
        <f>25000+20000</f>
        <v>45000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200</v>
      </c>
      <c r="K7" s="3">
        <v>0</v>
      </c>
      <c r="L7" s="3">
        <f t="shared" ref="L7:L14" si="1">+D7-J7-K7</f>
        <v>44800</v>
      </c>
      <c r="M7" s="4"/>
      <c r="N7" s="1" t="s">
        <v>17</v>
      </c>
    </row>
    <row r="8" spans="1:15" x14ac:dyDescent="0.35">
      <c r="A8" s="3">
        <v>6</v>
      </c>
      <c r="B8" s="5" t="s">
        <v>18</v>
      </c>
      <c r="C8" s="3">
        <v>25</v>
      </c>
      <c r="D8" s="3">
        <v>45000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200</v>
      </c>
      <c r="K8" s="3">
        <v>0</v>
      </c>
      <c r="L8" s="3">
        <f t="shared" si="1"/>
        <v>44800</v>
      </c>
      <c r="M8" s="4"/>
      <c r="N8" s="1"/>
      <c r="O8" s="1"/>
    </row>
    <row r="9" spans="1:15" x14ac:dyDescent="0.35">
      <c r="A9" s="3">
        <v>7</v>
      </c>
      <c r="B9" s="5" t="s">
        <v>19</v>
      </c>
      <c r="C9" s="3">
        <v>25</v>
      </c>
      <c r="D9" s="3">
        <v>40000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200</v>
      </c>
      <c r="K9" s="3">
        <v>0</v>
      </c>
      <c r="L9" s="3">
        <f t="shared" si="1"/>
        <v>39800</v>
      </c>
      <c r="M9" s="4"/>
      <c r="N9" s="1"/>
      <c r="O9" s="1"/>
    </row>
    <row r="10" spans="1:15" x14ac:dyDescent="0.35">
      <c r="A10" s="3">
        <v>8</v>
      </c>
      <c r="B10" s="5" t="s">
        <v>20</v>
      </c>
      <c r="C10" s="3">
        <v>25</v>
      </c>
      <c r="D10" s="3">
        <v>40000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200</v>
      </c>
      <c r="K10" s="3">
        <v>0</v>
      </c>
      <c r="L10" s="3">
        <f t="shared" si="1"/>
        <v>39800</v>
      </c>
      <c r="M10" s="4"/>
      <c r="N10" s="1"/>
      <c r="O10" s="1"/>
    </row>
    <row r="11" spans="1:15" x14ac:dyDescent="0.35">
      <c r="A11" s="3">
        <v>9</v>
      </c>
      <c r="B11" s="3" t="s">
        <v>21</v>
      </c>
      <c r="C11" s="3">
        <v>25</v>
      </c>
      <c r="D11" s="3">
        <v>45000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200</v>
      </c>
      <c r="K11" s="3">
        <v>0</v>
      </c>
      <c r="L11" s="3">
        <f t="shared" si="1"/>
        <v>44800</v>
      </c>
      <c r="M11" s="4"/>
      <c r="N11" s="1"/>
      <c r="O11" s="1"/>
    </row>
    <row r="12" spans="1:15" x14ac:dyDescent="0.35">
      <c r="A12" s="3">
        <v>10</v>
      </c>
      <c r="B12" s="5" t="s">
        <v>22</v>
      </c>
      <c r="C12" s="3">
        <v>25</v>
      </c>
      <c r="D12" s="3">
        <v>40000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200</v>
      </c>
      <c r="K12" s="3">
        <v>0</v>
      </c>
      <c r="L12" s="3">
        <f t="shared" si="1"/>
        <v>39800</v>
      </c>
      <c r="M12" s="4"/>
      <c r="N12" s="1"/>
      <c r="O12" s="1"/>
    </row>
    <row r="13" spans="1:15" x14ac:dyDescent="0.35">
      <c r="A13" s="3">
        <v>11</v>
      </c>
      <c r="B13" s="5" t="s">
        <v>23</v>
      </c>
      <c r="C13" s="3">
        <v>25</v>
      </c>
      <c r="D13" s="3">
        <v>50000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200</v>
      </c>
      <c r="K13" s="3">
        <v>0</v>
      </c>
      <c r="L13" s="3">
        <f t="shared" si="1"/>
        <v>49800</v>
      </c>
      <c r="M13" s="4"/>
      <c r="N13" s="1"/>
      <c r="O13" s="1"/>
    </row>
    <row r="14" spans="1:15" x14ac:dyDescent="0.35">
      <c r="A14" s="3">
        <v>12</v>
      </c>
      <c r="B14" s="3" t="s">
        <v>24</v>
      </c>
      <c r="C14" s="3">
        <v>25</v>
      </c>
      <c r="D14" s="3">
        <v>40000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200</v>
      </c>
      <c r="K14" s="3">
        <v>0</v>
      </c>
      <c r="L14" s="3">
        <f t="shared" si="1"/>
        <v>39800</v>
      </c>
      <c r="M14" s="4"/>
      <c r="N14" s="1"/>
      <c r="O14" s="1"/>
    </row>
    <row r="15" spans="1:15" x14ac:dyDescent="0.35">
      <c r="A15" s="3">
        <v>13</v>
      </c>
      <c r="B15" s="3" t="s">
        <v>25</v>
      </c>
      <c r="C15" s="3">
        <v>0</v>
      </c>
      <c r="D15" s="3">
        <f>E15+F15+G15</f>
        <v>16180</v>
      </c>
      <c r="E15" s="3">
        <v>10626</v>
      </c>
      <c r="F15" s="3">
        <v>4554</v>
      </c>
      <c r="G15" s="3">
        <v>1000</v>
      </c>
      <c r="H15" s="3">
        <v>1275</v>
      </c>
      <c r="I15" s="3">
        <v>114</v>
      </c>
      <c r="J15" s="3">
        <v>200</v>
      </c>
      <c r="K15" s="3">
        <v>0</v>
      </c>
      <c r="L15" s="3">
        <f t="shared" ref="L15:L18" si="2">D15-H15-I15-J15-K15</f>
        <v>14591</v>
      </c>
      <c r="M15" s="4" t="s">
        <v>17</v>
      </c>
      <c r="N15" s="1" t="s">
        <v>17</v>
      </c>
    </row>
    <row r="16" spans="1:15" x14ac:dyDescent="0.35">
      <c r="A16" s="3">
        <v>14</v>
      </c>
      <c r="B16" s="3" t="s">
        <v>26</v>
      </c>
      <c r="C16" s="3">
        <v>0</v>
      </c>
      <c r="D16" s="3">
        <f>E16+F16+G16</f>
        <v>15581</v>
      </c>
      <c r="E16" s="3">
        <v>10233</v>
      </c>
      <c r="F16" s="3">
        <v>4385</v>
      </c>
      <c r="G16" s="3">
        <v>963</v>
      </c>
      <c r="H16" s="3">
        <v>1228</v>
      </c>
      <c r="I16" s="3">
        <v>110</v>
      </c>
      <c r="J16" s="3">
        <v>200</v>
      </c>
      <c r="K16" s="3">
        <v>0</v>
      </c>
      <c r="L16" s="3">
        <f t="shared" si="2"/>
        <v>14043</v>
      </c>
      <c r="M16" s="4"/>
      <c r="N16" s="1"/>
    </row>
    <row r="17" spans="1:16" x14ac:dyDescent="0.35">
      <c r="A17" s="3">
        <v>15</v>
      </c>
      <c r="B17" s="3" t="s">
        <v>27</v>
      </c>
      <c r="C17" s="3">
        <v>0</v>
      </c>
      <c r="D17" s="3">
        <f t="shared" ref="D17:D23" si="3">E17+F17+G17</f>
        <v>15578</v>
      </c>
      <c r="E17" s="3">
        <v>15578</v>
      </c>
      <c r="F17" s="3">
        <v>0</v>
      </c>
      <c r="G17" s="3">
        <v>0</v>
      </c>
      <c r="H17" s="3">
        <v>1869</v>
      </c>
      <c r="I17" s="3">
        <v>117</v>
      </c>
      <c r="J17" s="3">
        <v>200</v>
      </c>
      <c r="K17" s="3">
        <v>0</v>
      </c>
      <c r="L17" s="3">
        <f t="shared" si="2"/>
        <v>13392</v>
      </c>
      <c r="M17" s="2" t="s">
        <v>17</v>
      </c>
    </row>
    <row r="18" spans="1:16" x14ac:dyDescent="0.35">
      <c r="A18" s="3">
        <v>16</v>
      </c>
      <c r="B18" s="3" t="s">
        <v>28</v>
      </c>
      <c r="C18" s="3">
        <v>0</v>
      </c>
      <c r="D18" s="3">
        <f t="shared" si="3"/>
        <v>9232</v>
      </c>
      <c r="E18" s="3">
        <v>9232</v>
      </c>
      <c r="F18" s="3">
        <v>0</v>
      </c>
      <c r="G18" s="3">
        <v>0</v>
      </c>
      <c r="H18" s="3">
        <v>1108</v>
      </c>
      <c r="I18" s="3">
        <f>69+1</f>
        <v>70</v>
      </c>
      <c r="J18" s="3">
        <v>0</v>
      </c>
      <c r="K18" s="3">
        <v>0</v>
      </c>
      <c r="L18" s="3">
        <f t="shared" si="2"/>
        <v>8054</v>
      </c>
    </row>
    <row r="19" spans="1:16" x14ac:dyDescent="0.35">
      <c r="A19" s="3">
        <v>17</v>
      </c>
      <c r="B19" s="6" t="s">
        <v>29</v>
      </c>
      <c r="C19" s="3">
        <v>0</v>
      </c>
      <c r="D19" s="3">
        <f t="shared" si="3"/>
        <v>12759</v>
      </c>
      <c r="E19" s="6">
        <v>12759</v>
      </c>
      <c r="F19" s="6">
        <v>0</v>
      </c>
      <c r="G19" s="6">
        <v>0</v>
      </c>
      <c r="H19" s="6">
        <v>1531</v>
      </c>
      <c r="I19" s="6">
        <v>96</v>
      </c>
      <c r="J19" s="6">
        <v>200</v>
      </c>
      <c r="K19" s="3">
        <v>0</v>
      </c>
      <c r="L19" s="3">
        <f t="shared" ref="L19:L23" si="4">E19-H19-I19-J19-K19</f>
        <v>10932</v>
      </c>
      <c r="M19" s="1"/>
      <c r="N19" s="1"/>
      <c r="O19" s="1"/>
      <c r="P19" s="1"/>
    </row>
    <row r="20" spans="1:16" x14ac:dyDescent="0.35">
      <c r="A20" s="3">
        <v>18</v>
      </c>
      <c r="B20" s="6" t="s">
        <v>30</v>
      </c>
      <c r="C20" s="3">
        <v>0</v>
      </c>
      <c r="D20" s="3">
        <f t="shared" si="3"/>
        <v>12287</v>
      </c>
      <c r="E20" s="6">
        <f>12277+10</f>
        <v>12287</v>
      </c>
      <c r="F20" s="6">
        <v>0</v>
      </c>
      <c r="G20" s="6">
        <v>0</v>
      </c>
      <c r="H20" s="6">
        <v>1473</v>
      </c>
      <c r="I20" s="6">
        <f>92+10</f>
        <v>102</v>
      </c>
      <c r="J20" s="6">
        <v>200</v>
      </c>
      <c r="K20" s="3">
        <v>0</v>
      </c>
      <c r="L20" s="3">
        <f t="shared" si="4"/>
        <v>10512</v>
      </c>
      <c r="M20" s="1" t="s">
        <v>17</v>
      </c>
      <c r="N20" s="1"/>
      <c r="O20" s="1"/>
      <c r="P20" s="1"/>
    </row>
    <row r="21" spans="1:16" x14ac:dyDescent="0.35">
      <c r="A21" s="3">
        <v>19</v>
      </c>
      <c r="B21" s="6" t="s">
        <v>31</v>
      </c>
      <c r="C21" s="3">
        <v>0</v>
      </c>
      <c r="D21" s="3">
        <f t="shared" si="3"/>
        <v>13483</v>
      </c>
      <c r="E21" s="6">
        <f>13482+1</f>
        <v>13483</v>
      </c>
      <c r="F21" s="6">
        <v>0</v>
      </c>
      <c r="G21" s="6">
        <v>0</v>
      </c>
      <c r="H21" s="6">
        <v>1618</v>
      </c>
      <c r="I21" s="6">
        <f>101+1</f>
        <v>102</v>
      </c>
      <c r="J21" s="6">
        <v>200</v>
      </c>
      <c r="K21" s="3">
        <v>0</v>
      </c>
      <c r="L21" s="3">
        <f t="shared" si="4"/>
        <v>11563</v>
      </c>
      <c r="M21" s="1"/>
      <c r="N21" s="1"/>
      <c r="O21" s="1"/>
      <c r="P21" s="1"/>
    </row>
    <row r="22" spans="1:16" x14ac:dyDescent="0.35">
      <c r="A22" s="3">
        <v>20</v>
      </c>
      <c r="B22" s="6" t="s">
        <v>32</v>
      </c>
      <c r="C22" s="3">
        <v>0</v>
      </c>
      <c r="D22" s="3">
        <f t="shared" si="3"/>
        <v>11899</v>
      </c>
      <c r="E22" s="6">
        <f>10944+1</f>
        <v>10945</v>
      </c>
      <c r="F22" s="6">
        <v>954</v>
      </c>
      <c r="G22" s="6">
        <v>0</v>
      </c>
      <c r="H22" s="6">
        <v>1313</v>
      </c>
      <c r="I22" s="6">
        <f>89+1</f>
        <v>90</v>
      </c>
      <c r="J22" s="6">
        <v>0</v>
      </c>
      <c r="K22" s="3">
        <v>5000</v>
      </c>
      <c r="L22" s="3">
        <f t="shared" si="4"/>
        <v>4542</v>
      </c>
      <c r="M22" s="1"/>
      <c r="N22" s="1"/>
      <c r="O22" s="1"/>
      <c r="P22" s="1"/>
    </row>
    <row r="23" spans="1:16" x14ac:dyDescent="0.35">
      <c r="A23" s="3">
        <v>21</v>
      </c>
      <c r="B23" s="6" t="s">
        <v>33</v>
      </c>
      <c r="C23" s="3">
        <v>0</v>
      </c>
      <c r="D23" s="3">
        <f t="shared" si="3"/>
        <v>15146</v>
      </c>
      <c r="E23" s="3">
        <v>13931</v>
      </c>
      <c r="F23" s="3">
        <v>1215</v>
      </c>
      <c r="G23" s="3">
        <v>0</v>
      </c>
      <c r="H23" s="3">
        <v>1672</v>
      </c>
      <c r="I23" s="3">
        <v>114</v>
      </c>
      <c r="J23" s="3">
        <v>200</v>
      </c>
      <c r="K23" s="3">
        <v>0</v>
      </c>
      <c r="L23" s="3">
        <f t="shared" si="4"/>
        <v>11945</v>
      </c>
      <c r="M23" s="1" t="s">
        <v>17</v>
      </c>
      <c r="N23" s="1"/>
      <c r="O23" s="1"/>
      <c r="P23" s="1"/>
    </row>
    <row r="24" spans="1:16" ht="13.9" x14ac:dyDescent="0.4">
      <c r="B24" s="7"/>
      <c r="C24" s="7" t="s">
        <v>17</v>
      </c>
      <c r="D24" s="7"/>
      <c r="H24" s="2">
        <f>SUM(H3:H23)</f>
        <v>13087</v>
      </c>
      <c r="I24" s="2">
        <f>SUM(I3:I23)</f>
        <v>915</v>
      </c>
      <c r="J24" s="2">
        <f>SUM(J3:J23)</f>
        <v>3800</v>
      </c>
      <c r="L24" s="7"/>
      <c r="M24" s="7"/>
    </row>
    <row r="25" spans="1:16" ht="14.25" x14ac:dyDescent="0.45">
      <c r="B25" s="7"/>
      <c r="C25" s="8"/>
      <c r="D25" s="7"/>
      <c r="G25" s="2" t="s">
        <v>34</v>
      </c>
      <c r="H25" s="2">
        <f>H16+H22</f>
        <v>2541</v>
      </c>
      <c r="I25" s="2" t="s">
        <v>35</v>
      </c>
    </row>
    <row r="26" spans="1:16" ht="13.9" x14ac:dyDescent="0.4">
      <c r="B26" s="7" t="s">
        <v>17</v>
      </c>
      <c r="C26" s="7"/>
      <c r="D26" s="7"/>
      <c r="H26" s="2">
        <f>H24-H25</f>
        <v>10546</v>
      </c>
      <c r="I26" s="2" t="s">
        <v>36</v>
      </c>
      <c r="L26" s="7"/>
      <c r="M26" s="7"/>
    </row>
    <row r="27" spans="1:16" ht="13.9" x14ac:dyDescent="0.4">
      <c r="B27" s="7"/>
      <c r="C27" s="7"/>
      <c r="D27" s="7"/>
      <c r="L27" s="7"/>
      <c r="M27" s="7"/>
    </row>
    <row r="28" spans="1:16" ht="14.25" x14ac:dyDescent="0.45">
      <c r="B28" s="7"/>
      <c r="C28" s="7"/>
      <c r="D28" s="7"/>
      <c r="E28" s="7"/>
      <c r="G28" s="9"/>
      <c r="H28" s="10"/>
      <c r="L28" s="7"/>
      <c r="M28" s="7"/>
    </row>
    <row r="29" spans="1:16" ht="13.9" x14ac:dyDescent="0.4">
      <c r="B29" s="7"/>
      <c r="C29" s="7"/>
      <c r="D29" s="7"/>
      <c r="E29" s="7"/>
      <c r="G29" s="7"/>
      <c r="L29" s="7"/>
      <c r="M29" s="7"/>
    </row>
    <row r="30" spans="1:16" ht="14.25" x14ac:dyDescent="0.45">
      <c r="B30" s="7"/>
      <c r="C30" s="8"/>
      <c r="D30" s="7"/>
      <c r="H30" s="11"/>
    </row>
    <row r="31" spans="1:16" ht="13.9" x14ac:dyDescent="0.4">
      <c r="B31" s="7"/>
      <c r="C31" s="7"/>
      <c r="H31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2025-12-06T06:07:52Z</dcterms:modified>
</cp:coreProperties>
</file>