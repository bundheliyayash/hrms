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DHIRAJ MAURY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B26" i="2" l="1"/>
  <c r="B25" i="2"/>
  <c r="B23" i="2"/>
  <c r="B15" i="2"/>
  <c r="B14" i="2"/>
  <c r="B18" i="2" s="1"/>
  <c r="F13" i="2"/>
  <c r="G12" i="2"/>
  <c r="B12" i="2"/>
  <c r="B28" i="2" s="1"/>
  <c r="F11" i="2"/>
  <c r="E11" i="2" s="1"/>
  <c r="F10" i="2"/>
  <c r="E10" i="2"/>
  <c r="F9" i="2"/>
  <c r="E9" i="2" s="1"/>
  <c r="B7" i="2"/>
  <c r="B24" i="2" s="1"/>
  <c r="B19" i="2" l="1"/>
  <c r="B21" i="2" s="1"/>
  <c r="D6" i="1" l="1"/>
  <c r="G12" i="1" l="1"/>
  <c r="G8" i="1"/>
  <c r="G7" i="1"/>
  <c r="G9" i="1" s="1"/>
  <c r="E5" i="1"/>
  <c r="C5" i="1"/>
  <c r="B5" i="1"/>
  <c r="D3" i="1"/>
  <c r="D5" i="1" s="1"/>
  <c r="G5" i="1"/>
  <c r="D2" i="1"/>
  <c r="F3" i="1" l="1"/>
  <c r="F5" i="1" s="1"/>
</calcChain>
</file>

<file path=xl/comments1.xml><?xml version="1.0" encoding="utf-8"?>
<comments xmlns="http://schemas.openxmlformats.org/spreadsheetml/2006/main">
  <authors>
    <author>Author</author>
  </authors>
  <commentList>
    <comment ref="G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LESS - ESIC 100/- DEDUCTED</t>
        </r>
      </text>
    </comment>
  </commentList>
</comments>
</file>

<file path=xl/sharedStrings.xml><?xml version="1.0" encoding="utf-8"?>
<sst xmlns="http://schemas.openxmlformats.org/spreadsheetml/2006/main" count="71" uniqueCount="48">
  <si>
    <t>PR</t>
  </si>
  <si>
    <t>OT</t>
  </si>
  <si>
    <t>OT AMT</t>
  </si>
  <si>
    <t>TOTAL</t>
  </si>
  <si>
    <t>CASH</t>
  </si>
  <si>
    <t>DHIRAJ</t>
  </si>
  <si>
    <t xml:space="preserve"> </t>
  </si>
  <si>
    <t>SURESH</t>
  </si>
  <si>
    <t>OT BILL :-</t>
  </si>
  <si>
    <t>Clean Sheen Cleaning Services Pvt Ltd</t>
  </si>
  <si>
    <t>NAME :- Dhiraj Maurya</t>
  </si>
  <si>
    <t xml:space="preserve">UAN : </t>
  </si>
  <si>
    <t>Working Days</t>
  </si>
  <si>
    <t>Designat.: HK</t>
  </si>
  <si>
    <t xml:space="preserve">ESIC : </t>
  </si>
  <si>
    <t>Leave</t>
  </si>
  <si>
    <t>Component Name</t>
  </si>
  <si>
    <t>Monthly Salary In INR</t>
  </si>
  <si>
    <t>Annualy Salary IN INR</t>
  </si>
  <si>
    <t>Annual CTC</t>
  </si>
  <si>
    <t>Monthly Salary</t>
  </si>
  <si>
    <t>Earnings</t>
  </si>
  <si>
    <t>Basic</t>
  </si>
  <si>
    <t xml:space="preserve">70% on Gross </t>
  </si>
  <si>
    <t>HRA</t>
  </si>
  <si>
    <t>Uniform Allowance</t>
  </si>
  <si>
    <t>Total Earnings</t>
  </si>
  <si>
    <t>Deductions</t>
  </si>
  <si>
    <t>PF</t>
  </si>
  <si>
    <t xml:space="preserve">12%on Basic </t>
  </si>
  <si>
    <t xml:space="preserve">ESIC </t>
  </si>
  <si>
    <t xml:space="preserve">.75 % on Gross </t>
  </si>
  <si>
    <t>PT</t>
  </si>
  <si>
    <t>Advance</t>
  </si>
  <si>
    <t>Total Deductions</t>
  </si>
  <si>
    <t>Net Pay</t>
  </si>
  <si>
    <t>Net In Hand</t>
  </si>
  <si>
    <t xml:space="preserve">Employer Contribution </t>
  </si>
  <si>
    <t xml:space="preserve">PF </t>
  </si>
  <si>
    <t>12% Basic</t>
  </si>
  <si>
    <t xml:space="preserve">3.25% on Gross </t>
  </si>
  <si>
    <t>No of days</t>
  </si>
  <si>
    <t>Calculation</t>
  </si>
  <si>
    <t>CTC</t>
  </si>
  <si>
    <t>Pay Slip for the month of Sept-2025</t>
  </si>
  <si>
    <t>180/- ESIC DEDUCTED</t>
  </si>
  <si>
    <t>BANK</t>
  </si>
  <si>
    <t>CASH PAID TO DG ON 10-10-2025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</si>
</sst>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2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 applyFill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3" fillId="3" borderId="1" xfId="0" applyNumberFormat="1" applyFont="1" applyFill="1" applyBorder="1"/>
    <xf numFmtId="0" fontId="4" fillId="0" borderId="1" xfId="0" applyFont="1" applyBorder="1"/>
    <xf numFmtId="1" fontId="4" fillId="0" borderId="1" xfId="0" applyNumberFormat="1" applyFont="1" applyBorder="1"/>
    <xf numFmtId="1" fontId="3" fillId="0" borderId="0" xfId="0" applyNumberFormat="1" applyFont="1"/>
    <xf numFmtId="0" fontId="3" fillId="0" borderId="0" xfId="0" applyFont="1" applyBorder="1" applyAlignment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" fontId="3" fillId="4" borderId="1" xfId="0" applyNumberFormat="1" applyFont="1" applyFill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H10" sqref="H10"/>
    </sheetView>
  </sheetViews>
  <sheetFormatPr defaultRowHeight="14.25" x14ac:dyDescent="0.45"/>
  <cols>
    <col min="1" max="1" width="12.73046875" style="2" customWidth="1"/>
    <col min="2" max="3" width="9.06640625" style="2"/>
    <col min="4" max="4" width="10.33203125" style="2" customWidth="1"/>
    <col min="5" max="5" width="10.73046875" style="2" customWidth="1"/>
    <col min="6" max="6" width="17.73046875" style="2" customWidth="1"/>
    <col min="7" max="7" width="14.06640625" style="2" customWidth="1"/>
    <col min="8" max="8" width="61.6640625" style="2" customWidth="1"/>
    <col min="9" max="16384" width="9.06640625" style="2"/>
  </cols>
  <sheetData>
    <row r="1" spans="1:8" x14ac:dyDescent="0.45">
      <c r="A1" s="1"/>
      <c r="B1" s="1" t="s">
        <v>0</v>
      </c>
      <c r="C1" s="1" t="s">
        <v>1</v>
      </c>
      <c r="D1" s="1" t="s">
        <v>2</v>
      </c>
      <c r="E1" s="1" t="s">
        <v>46</v>
      </c>
      <c r="F1" s="1" t="s">
        <v>3</v>
      </c>
      <c r="G1" s="1" t="s">
        <v>4</v>
      </c>
    </row>
    <row r="2" spans="1:8" x14ac:dyDescent="0.45">
      <c r="A2" s="1" t="s">
        <v>7</v>
      </c>
      <c r="B2" s="1">
        <v>26</v>
      </c>
      <c r="C2" s="3">
        <v>0.57999999999999996</v>
      </c>
      <c r="D2" s="4">
        <f>80*C2</f>
        <v>46.4</v>
      </c>
      <c r="E2" s="1">
        <v>0</v>
      </c>
      <c r="F2" s="4">
        <v>0</v>
      </c>
      <c r="G2" s="4">
        <f>16180/26*26-180</f>
        <v>15999.999999999998</v>
      </c>
      <c r="H2" s="2" t="s">
        <v>45</v>
      </c>
    </row>
    <row r="3" spans="1:8" x14ac:dyDescent="0.45">
      <c r="A3" s="1" t="s">
        <v>5</v>
      </c>
      <c r="B3" s="1">
        <v>26</v>
      </c>
      <c r="C3" s="3">
        <v>1.53</v>
      </c>
      <c r="D3" s="4">
        <f>80*C3</f>
        <v>122.4</v>
      </c>
      <c r="E3" s="1">
        <v>14591</v>
      </c>
      <c r="F3" s="4">
        <f>D3+E3</f>
        <v>14713.4</v>
      </c>
      <c r="G3" s="1">
        <v>0</v>
      </c>
      <c r="H3" s="2" t="s">
        <v>6</v>
      </c>
    </row>
    <row r="4" spans="1:8" x14ac:dyDescent="0.45">
      <c r="A4" s="5"/>
      <c r="B4" s="6"/>
      <c r="C4" s="7"/>
      <c r="D4" s="8">
        <v>0</v>
      </c>
      <c r="E4" s="6">
        <v>0</v>
      </c>
      <c r="F4" s="8"/>
      <c r="G4" s="6">
        <v>0</v>
      </c>
    </row>
    <row r="5" spans="1:8" x14ac:dyDescent="0.45">
      <c r="B5" s="1">
        <f>SUM(B2:B4)</f>
        <v>52</v>
      </c>
      <c r="C5" s="3">
        <f>SUM(C2:C3)</f>
        <v>2.11</v>
      </c>
      <c r="D5" s="4">
        <f>SUM(D2:D3)</f>
        <v>168.8</v>
      </c>
      <c r="E5" s="1">
        <f>SUM(E2:E4)</f>
        <v>14591</v>
      </c>
      <c r="F5" s="4">
        <f>SUM(F2:F3)</f>
        <v>14713.4</v>
      </c>
      <c r="G5" s="4">
        <f>SUM(G2:G4)</f>
        <v>15999.999999999998</v>
      </c>
    </row>
    <row r="6" spans="1:8" x14ac:dyDescent="0.45">
      <c r="A6" s="2" t="s">
        <v>8</v>
      </c>
      <c r="C6" s="2">
        <v>1.53</v>
      </c>
      <c r="D6" s="2">
        <f>120*C6</f>
        <v>183.6</v>
      </c>
    </row>
    <row r="7" spans="1:8" x14ac:dyDescent="0.45">
      <c r="A7" s="9"/>
      <c r="E7" s="2">
        <v>500</v>
      </c>
      <c r="F7" s="2">
        <v>32</v>
      </c>
      <c r="G7" s="2">
        <f>E7*F7</f>
        <v>16000</v>
      </c>
    </row>
    <row r="8" spans="1:8" x14ac:dyDescent="0.45">
      <c r="A8" s="10"/>
      <c r="E8" s="2">
        <v>100</v>
      </c>
      <c r="F8" s="2">
        <v>0</v>
      </c>
      <c r="G8" s="2">
        <f>E8*F8</f>
        <v>0</v>
      </c>
    </row>
    <row r="9" spans="1:8" x14ac:dyDescent="0.45">
      <c r="A9" s="10"/>
      <c r="G9" s="11">
        <f>SUM(G7:G8)</f>
        <v>16000</v>
      </c>
      <c r="H9" s="11" t="s">
        <v>47</v>
      </c>
    </row>
    <row r="10" spans="1:8" x14ac:dyDescent="0.45">
      <c r="A10" s="10"/>
    </row>
    <row r="11" spans="1:8" x14ac:dyDescent="0.45">
      <c r="A11" s="10"/>
      <c r="F11" s="2" t="s">
        <v>6</v>
      </c>
    </row>
    <row r="12" spans="1:8" x14ac:dyDescent="0.45">
      <c r="A12" s="10"/>
      <c r="G12" s="2">
        <f>9000/500</f>
        <v>18</v>
      </c>
      <c r="H12" s="2" t="s">
        <v>6</v>
      </c>
    </row>
    <row r="13" spans="1:8" x14ac:dyDescent="0.45">
      <c r="A13" s="10"/>
      <c r="G13" s="2" t="s">
        <v>6</v>
      </c>
    </row>
    <row r="14" spans="1:8" x14ac:dyDescent="0.45">
      <c r="A14" s="10"/>
    </row>
    <row r="15" spans="1:8" x14ac:dyDescent="0.45">
      <c r="A15" s="10"/>
      <c r="G15" s="2" t="s">
        <v>6</v>
      </c>
    </row>
    <row r="16" spans="1:8" x14ac:dyDescent="0.45">
      <c r="A16" s="10"/>
    </row>
    <row r="17" spans="1:1" x14ac:dyDescent="0.45">
      <c r="A17" s="10"/>
    </row>
    <row r="18" spans="1:1" x14ac:dyDescent="0.45">
      <c r="A18" s="10"/>
    </row>
    <row r="19" spans="1:1" x14ac:dyDescent="0.45">
      <c r="A19" s="10"/>
    </row>
    <row r="20" spans="1:1" x14ac:dyDescent="0.45">
      <c r="A20" s="10"/>
    </row>
    <row r="21" spans="1:1" x14ac:dyDescent="0.45">
      <c r="A21" s="10"/>
    </row>
    <row r="22" spans="1:1" x14ac:dyDescent="0.45">
      <c r="A22" s="10"/>
    </row>
    <row r="23" spans="1:1" x14ac:dyDescent="0.45">
      <c r="A23" s="10"/>
    </row>
    <row r="24" spans="1:1" x14ac:dyDescent="0.45">
      <c r="A24" s="10"/>
    </row>
    <row r="25" spans="1:1" x14ac:dyDescent="0.45">
      <c r="A25" s="10"/>
    </row>
    <row r="26" spans="1:1" x14ac:dyDescent="0.45">
      <c r="A26" s="10"/>
    </row>
    <row r="27" spans="1:1" x14ac:dyDescent="0.45">
      <c r="A27" s="10"/>
    </row>
    <row r="28" spans="1:1" x14ac:dyDescent="0.45">
      <c r="A28" s="10"/>
    </row>
    <row r="29" spans="1:1" x14ac:dyDescent="0.45">
      <c r="A29" s="10"/>
    </row>
    <row r="30" spans="1:1" x14ac:dyDescent="0.45">
      <c r="A30" s="10"/>
    </row>
    <row r="31" spans="1:1" x14ac:dyDescent="0.45">
      <c r="A31" s="10"/>
    </row>
    <row r="32" spans="1:1" x14ac:dyDescent="0.45">
      <c r="A32" s="10"/>
    </row>
    <row r="33" spans="1:1" x14ac:dyDescent="0.45">
      <c r="A33" s="10"/>
    </row>
    <row r="34" spans="1:1" x14ac:dyDescent="0.45">
      <c r="A34" s="10"/>
    </row>
    <row r="35" spans="1:1" x14ac:dyDescent="0.45">
      <c r="A35" s="10"/>
    </row>
    <row r="36" spans="1:1" x14ac:dyDescent="0.45">
      <c r="A36" s="10"/>
    </row>
    <row r="37" spans="1:1" x14ac:dyDescent="0.45">
      <c r="A37" s="10"/>
    </row>
    <row r="38" spans="1:1" x14ac:dyDescent="0.45">
      <c r="A38" s="10"/>
    </row>
    <row r="39" spans="1:1" x14ac:dyDescent="0.45">
      <c r="A39" s="10"/>
    </row>
    <row r="40" spans="1:1" x14ac:dyDescent="0.45">
      <c r="A40" s="10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B18" sqref="B18"/>
    </sheetView>
  </sheetViews>
  <sheetFormatPr defaultColWidth="8.265625" defaultRowHeight="13.5" x14ac:dyDescent="0.35"/>
  <cols>
    <col min="1" max="1" width="27.3984375" style="12" customWidth="1"/>
    <col min="2" max="3" width="20.265625" style="12" bestFit="1" customWidth="1"/>
    <col min="4" max="4" width="16.1328125" style="12" customWidth="1"/>
    <col min="5" max="5" width="9" style="12" customWidth="1"/>
    <col min="6" max="6" width="12" style="12" bestFit="1" customWidth="1"/>
    <col min="7" max="7" width="8.86328125" style="12" customWidth="1"/>
    <col min="8" max="8" width="9.265625" style="12" customWidth="1"/>
    <col min="9" max="10" width="8.265625" style="12"/>
    <col min="11" max="11" width="7.1328125" style="12" customWidth="1"/>
    <col min="12" max="16384" width="8.265625" style="12"/>
  </cols>
  <sheetData>
    <row r="1" spans="1:13" x14ac:dyDescent="0.35">
      <c r="A1" s="26" t="s">
        <v>9</v>
      </c>
      <c r="B1" s="26"/>
      <c r="C1" s="26"/>
      <c r="D1" s="26"/>
    </row>
    <row r="2" spans="1:13" x14ac:dyDescent="0.35">
      <c r="A2" s="27" t="s">
        <v>44</v>
      </c>
      <c r="B2" s="27"/>
      <c r="C2" s="27"/>
      <c r="D2" s="27"/>
    </row>
    <row r="3" spans="1:13" x14ac:dyDescent="0.35">
      <c r="A3" s="13" t="s">
        <v>10</v>
      </c>
      <c r="B3" s="14" t="s">
        <v>11</v>
      </c>
      <c r="C3" s="13" t="s">
        <v>12</v>
      </c>
      <c r="D3" s="13">
        <v>26</v>
      </c>
      <c r="E3" s="12" t="s">
        <v>6</v>
      </c>
      <c r="F3" s="15"/>
      <c r="G3" s="15"/>
      <c r="H3" s="15"/>
      <c r="I3" s="15"/>
    </row>
    <row r="4" spans="1:13" x14ac:dyDescent="0.35">
      <c r="A4" s="13" t="s">
        <v>13</v>
      </c>
      <c r="B4" s="13" t="s">
        <v>14</v>
      </c>
      <c r="C4" s="13" t="s">
        <v>15</v>
      </c>
      <c r="D4" s="13">
        <v>0</v>
      </c>
      <c r="F4" s="15"/>
      <c r="G4" s="15"/>
      <c r="H4" s="15"/>
      <c r="I4" s="15"/>
    </row>
    <row r="5" spans="1:13" x14ac:dyDescent="0.35">
      <c r="A5" s="16" t="s">
        <v>16</v>
      </c>
      <c r="B5" s="16" t="s">
        <v>17</v>
      </c>
      <c r="C5" s="17" t="s">
        <v>18</v>
      </c>
      <c r="D5" s="13"/>
    </row>
    <row r="6" spans="1:13" x14ac:dyDescent="0.35">
      <c r="A6" s="14" t="s">
        <v>19</v>
      </c>
      <c r="B6" s="18"/>
      <c r="C6" s="19">
        <v>89076</v>
      </c>
      <c r="D6" s="13"/>
      <c r="G6" s="12" t="s">
        <v>6</v>
      </c>
    </row>
    <row r="7" spans="1:13" x14ac:dyDescent="0.35">
      <c r="A7" s="20" t="s">
        <v>20</v>
      </c>
      <c r="B7" s="20">
        <f>+B9+B10</f>
        <v>15180</v>
      </c>
      <c r="C7" s="13"/>
      <c r="D7" s="13"/>
    </row>
    <row r="8" spans="1:13" x14ac:dyDescent="0.35">
      <c r="A8" s="20" t="s">
        <v>21</v>
      </c>
      <c r="B8" s="14"/>
      <c r="C8" s="13"/>
      <c r="D8" s="13"/>
      <c r="H8" s="12" t="s">
        <v>6</v>
      </c>
    </row>
    <row r="9" spans="1:13" x14ac:dyDescent="0.35">
      <c r="A9" s="14" t="s">
        <v>22</v>
      </c>
      <c r="B9" s="14">
        <v>10626</v>
      </c>
      <c r="C9" s="14">
        <v>70428</v>
      </c>
      <c r="D9" s="13" t="s">
        <v>23</v>
      </c>
      <c r="E9" s="21">
        <f>F9*26</f>
        <v>10626</v>
      </c>
      <c r="F9" s="21">
        <f>G9/26</f>
        <v>408.69230769230768</v>
      </c>
      <c r="G9" s="22">
        <v>10626</v>
      </c>
    </row>
    <row r="10" spans="1:13" x14ac:dyDescent="0.35">
      <c r="A10" s="14" t="s">
        <v>24</v>
      </c>
      <c r="B10" s="14">
        <v>4554</v>
      </c>
      <c r="C10" s="14">
        <v>18648</v>
      </c>
      <c r="D10" s="13" t="s">
        <v>6</v>
      </c>
      <c r="E10" s="21">
        <f t="shared" ref="E10:E11" si="0">F10*26</f>
        <v>4554</v>
      </c>
      <c r="F10" s="21">
        <f t="shared" ref="F10:F11" si="1">G10/26</f>
        <v>175.15384615384616</v>
      </c>
      <c r="G10" s="22">
        <v>4554</v>
      </c>
      <c r="K10" s="12" t="s">
        <v>6</v>
      </c>
    </row>
    <row r="11" spans="1:13" x14ac:dyDescent="0.35">
      <c r="A11" s="14" t="s">
        <v>25</v>
      </c>
      <c r="B11" s="14">
        <v>1000</v>
      </c>
      <c r="C11" s="14">
        <v>11544</v>
      </c>
      <c r="D11" s="13" t="s">
        <v>6</v>
      </c>
      <c r="E11" s="21">
        <f t="shared" si="0"/>
        <v>1000</v>
      </c>
      <c r="F11" s="21">
        <f t="shared" si="1"/>
        <v>38.46153846153846</v>
      </c>
      <c r="G11" s="22">
        <v>1000</v>
      </c>
    </row>
    <row r="12" spans="1:13" x14ac:dyDescent="0.35">
      <c r="A12" s="20" t="s">
        <v>26</v>
      </c>
      <c r="B12" s="20">
        <f>SUM(B9:B11)</f>
        <v>16180</v>
      </c>
      <c r="C12" s="14">
        <v>100620</v>
      </c>
      <c r="D12" s="13"/>
      <c r="E12" s="21"/>
      <c r="F12" s="21"/>
      <c r="G12" s="22">
        <f>SUM(G9:G11)</f>
        <v>16180</v>
      </c>
    </row>
    <row r="13" spans="1:13" x14ac:dyDescent="0.35">
      <c r="A13" s="20" t="s">
        <v>27</v>
      </c>
      <c r="B13" s="14"/>
      <c r="C13" s="14"/>
      <c r="D13" s="13"/>
      <c r="F13" s="12">
        <f>16180/26*26</f>
        <v>16179.999999999998</v>
      </c>
    </row>
    <row r="14" spans="1:13" x14ac:dyDescent="0.35">
      <c r="A14" s="14" t="s">
        <v>28</v>
      </c>
      <c r="B14" s="14">
        <f>+B9*12%</f>
        <v>1275.1199999999999</v>
      </c>
      <c r="C14" s="14">
        <v>8451.36</v>
      </c>
      <c r="D14" s="13" t="s">
        <v>29</v>
      </c>
    </row>
    <row r="15" spans="1:13" x14ac:dyDescent="0.35">
      <c r="A15" s="14" t="s">
        <v>30</v>
      </c>
      <c r="B15" s="14">
        <f>+B7*0.75%</f>
        <v>113.85</v>
      </c>
      <c r="C15" s="14">
        <v>1558.83</v>
      </c>
      <c r="D15" s="13" t="s">
        <v>31</v>
      </c>
      <c r="E15" s="15"/>
      <c r="F15" s="23"/>
      <c r="G15" s="24"/>
      <c r="H15" s="24"/>
      <c r="I15" s="24"/>
      <c r="J15" s="24"/>
      <c r="K15" s="24"/>
      <c r="L15" s="23"/>
      <c r="M15" s="23"/>
    </row>
    <row r="16" spans="1:13" x14ac:dyDescent="0.35">
      <c r="A16" s="14" t="s">
        <v>32</v>
      </c>
      <c r="B16" s="14">
        <v>200</v>
      </c>
      <c r="C16" s="14">
        <v>960</v>
      </c>
      <c r="D16" s="13"/>
      <c r="E16" s="15"/>
      <c r="F16" s="24"/>
      <c r="G16" s="24"/>
      <c r="H16" s="24"/>
      <c r="I16" s="24"/>
      <c r="J16" s="24"/>
      <c r="K16" s="24"/>
      <c r="L16" s="24"/>
      <c r="M16" s="24"/>
    </row>
    <row r="17" spans="1:14" x14ac:dyDescent="0.35">
      <c r="A17" s="14" t="s">
        <v>33</v>
      </c>
      <c r="B17" s="14">
        <v>0</v>
      </c>
      <c r="C17" s="14"/>
      <c r="D17" s="13"/>
      <c r="E17" s="15"/>
      <c r="F17" s="23"/>
      <c r="G17" s="23"/>
      <c r="H17" s="23"/>
      <c r="I17" s="23"/>
      <c r="J17" s="23"/>
      <c r="K17" s="23"/>
      <c r="L17" s="23"/>
      <c r="M17" s="23"/>
    </row>
    <row r="18" spans="1:14" x14ac:dyDescent="0.35">
      <c r="A18" s="20" t="s">
        <v>34</v>
      </c>
      <c r="B18" s="20">
        <f>SUM(B14:B17)</f>
        <v>1588.9699999999998</v>
      </c>
      <c r="C18" s="20">
        <v>10970.19</v>
      </c>
      <c r="D18" s="13"/>
      <c r="E18" s="15"/>
      <c r="F18" s="15"/>
      <c r="G18" s="15" t="s">
        <v>6</v>
      </c>
      <c r="H18" s="15" t="s">
        <v>6</v>
      </c>
      <c r="I18" s="15"/>
    </row>
    <row r="19" spans="1:14" x14ac:dyDescent="0.35">
      <c r="A19" s="20" t="s">
        <v>35</v>
      </c>
      <c r="B19" s="20">
        <f>+B12-B18</f>
        <v>14591.03</v>
      </c>
      <c r="C19" s="20">
        <v>89649.81</v>
      </c>
      <c r="D19" s="13"/>
      <c r="E19" s="15"/>
      <c r="F19" s="15"/>
      <c r="G19" s="15" t="s">
        <v>6</v>
      </c>
      <c r="H19" s="15" t="s">
        <v>6</v>
      </c>
      <c r="I19" s="15"/>
    </row>
    <row r="20" spans="1:14" x14ac:dyDescent="0.35">
      <c r="A20" s="14" t="s">
        <v>33</v>
      </c>
      <c r="B20" s="14">
        <v>0</v>
      </c>
      <c r="C20" s="14"/>
      <c r="D20" s="13"/>
      <c r="E20" s="15"/>
      <c r="F20" s="15" t="s">
        <v>6</v>
      </c>
      <c r="G20" s="15" t="s">
        <v>6</v>
      </c>
      <c r="H20" s="15" t="s">
        <v>6</v>
      </c>
      <c r="I20" s="15"/>
      <c r="N20" s="12" t="s">
        <v>6</v>
      </c>
    </row>
    <row r="21" spans="1:14" x14ac:dyDescent="0.35">
      <c r="A21" s="25" t="s">
        <v>36</v>
      </c>
      <c r="B21" s="25">
        <f>B19-B20</f>
        <v>14591.03</v>
      </c>
      <c r="C21" s="14"/>
      <c r="D21" s="13"/>
      <c r="E21" s="15"/>
      <c r="F21" s="15"/>
      <c r="G21" s="15"/>
      <c r="H21" s="15"/>
      <c r="I21" s="15"/>
      <c r="L21" s="12" t="s">
        <v>6</v>
      </c>
    </row>
    <row r="22" spans="1:14" x14ac:dyDescent="0.35">
      <c r="A22" s="14" t="s">
        <v>37</v>
      </c>
      <c r="B22" s="14"/>
      <c r="C22" s="14"/>
      <c r="D22" s="13"/>
      <c r="E22" s="15"/>
      <c r="F22" s="15"/>
      <c r="G22" s="15"/>
      <c r="H22" s="15"/>
      <c r="I22" s="15"/>
    </row>
    <row r="23" spans="1:14" x14ac:dyDescent="0.35">
      <c r="A23" s="14" t="s">
        <v>38</v>
      </c>
      <c r="B23" s="14">
        <f>+B9*13%</f>
        <v>1381.38</v>
      </c>
      <c r="C23" s="14">
        <v>8451.36</v>
      </c>
      <c r="D23" s="13" t="s">
        <v>39</v>
      </c>
    </row>
    <row r="24" spans="1:14" x14ac:dyDescent="0.35">
      <c r="A24" s="14" t="s">
        <v>30</v>
      </c>
      <c r="B24" s="14">
        <f>+B7*3.25%</f>
        <v>493.35</v>
      </c>
      <c r="C24" s="14">
        <v>4231.1100000000006</v>
      </c>
      <c r="D24" s="13" t="s">
        <v>40</v>
      </c>
    </row>
    <row r="25" spans="1:14" x14ac:dyDescent="0.35">
      <c r="A25" s="13" t="s">
        <v>41</v>
      </c>
      <c r="B25" s="13">
        <f>+D3</f>
        <v>26</v>
      </c>
      <c r="C25" s="13"/>
      <c r="D25" s="13"/>
    </row>
    <row r="26" spans="1:14" x14ac:dyDescent="0.35">
      <c r="A26" s="13" t="s">
        <v>15</v>
      </c>
      <c r="B26" s="13">
        <f>+D4</f>
        <v>0</v>
      </c>
      <c r="C26" s="13"/>
      <c r="D26" s="13"/>
    </row>
    <row r="27" spans="1:14" x14ac:dyDescent="0.35">
      <c r="A27" s="13" t="s">
        <v>42</v>
      </c>
      <c r="B27" s="14">
        <v>0</v>
      </c>
      <c r="C27" s="13"/>
      <c r="D27" s="13"/>
    </row>
    <row r="28" spans="1:14" x14ac:dyDescent="0.35">
      <c r="A28" s="13" t="s">
        <v>43</v>
      </c>
      <c r="B28" s="14">
        <f>+B12+B23+B24</f>
        <v>18054.73</v>
      </c>
      <c r="C28" s="13"/>
      <c r="D28" s="13"/>
      <c r="G28" s="12" t="s">
        <v>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DHIRAJ MAURYA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2025-10-10T17:23:51Z</dcterms:modified>
</cp:coreProperties>
</file>