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ANTIMA" sheetId="2" r:id="rId2"/>
    <sheet name="KARAN CHAUHAN" sheetId="3" r:id="rId3"/>
    <sheet name="UJJAWALA KOLI" sheetId="4" r:id="rId4"/>
    <sheet name="PREMLA BEN PAVADI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G13" i="1"/>
  <c r="G12" i="1"/>
  <c r="G11" i="1"/>
  <c r="G10" i="1"/>
  <c r="G9" i="1"/>
  <c r="G8" i="1"/>
  <c r="I8" i="1"/>
  <c r="I9" i="1"/>
  <c r="I10" i="1"/>
  <c r="I11" i="1"/>
  <c r="I12" i="1"/>
  <c r="I13" i="1"/>
  <c r="I14" i="1"/>
  <c r="B22" i="5" l="1"/>
  <c r="B21" i="5"/>
  <c r="B20" i="5"/>
  <c r="G19" i="5"/>
  <c r="F11" i="5"/>
  <c r="F10" i="5"/>
  <c r="F13" i="5" s="1"/>
  <c r="B10" i="5"/>
  <c r="B8" i="5"/>
  <c r="B13" i="5" s="1"/>
  <c r="B7" i="5"/>
  <c r="B12" i="5" s="1"/>
  <c r="C15" i="1"/>
  <c r="C11" i="1"/>
  <c r="C12" i="1"/>
  <c r="B16" i="5" l="1"/>
  <c r="B17" i="5"/>
  <c r="B19" i="5"/>
  <c r="B24" i="5" s="1"/>
  <c r="B22" i="2" l="1"/>
  <c r="B21" i="2"/>
  <c r="F13" i="2"/>
  <c r="F11" i="2"/>
  <c r="F10" i="2"/>
  <c r="B10" i="2"/>
  <c r="B8" i="2"/>
  <c r="B13" i="2" s="1"/>
  <c r="B7" i="2"/>
  <c r="B12" i="2" s="1"/>
  <c r="B22" i="3"/>
  <c r="B21" i="3"/>
  <c r="F13" i="3"/>
  <c r="F11" i="3"/>
  <c r="F10" i="3"/>
  <c r="B10" i="3"/>
  <c r="B8" i="3"/>
  <c r="B13" i="3" s="1"/>
  <c r="B7" i="3"/>
  <c r="B12" i="3" s="1"/>
  <c r="B22" i="4"/>
  <c r="B21" i="4"/>
  <c r="G19" i="4"/>
  <c r="F11" i="4"/>
  <c r="F10" i="4"/>
  <c r="F13" i="4" s="1"/>
  <c r="B10" i="4"/>
  <c r="B8" i="4"/>
  <c r="B20" i="4" s="1"/>
  <c r="B7" i="4"/>
  <c r="B12" i="4" s="1"/>
  <c r="E20" i="1"/>
  <c r="E19" i="1"/>
  <c r="E18" i="1"/>
  <c r="E17" i="1"/>
  <c r="F15" i="1"/>
  <c r="D15" i="1"/>
  <c r="I7" i="1"/>
  <c r="G7" i="1"/>
  <c r="I6" i="1"/>
  <c r="G6" i="1"/>
  <c r="G5" i="1"/>
  <c r="G4" i="1"/>
  <c r="I3" i="1"/>
  <c r="G3" i="1"/>
  <c r="B13" i="4" l="1"/>
  <c r="B16" i="4" s="1"/>
  <c r="B17" i="4" s="1"/>
  <c r="B20" i="3"/>
  <c r="B16" i="2"/>
  <c r="B20" i="2"/>
  <c r="E21" i="1"/>
  <c r="G15" i="1"/>
  <c r="E15" i="1"/>
  <c r="I15" i="1"/>
  <c r="B17" i="2"/>
  <c r="B19" i="2"/>
  <c r="B24" i="2" s="1"/>
  <c r="B16" i="3"/>
  <c r="B17" i="3" s="1"/>
  <c r="B19" i="3"/>
  <c r="B24" i="3" s="1"/>
  <c r="B19" i="4"/>
  <c r="B24" i="4"/>
</calcChain>
</file>

<file path=xl/sharedStrings.xml><?xml version="1.0" encoding="utf-8"?>
<sst xmlns="http://schemas.openxmlformats.org/spreadsheetml/2006/main" count="222" uniqueCount="65">
  <si>
    <t>SR.NO.</t>
  </si>
  <si>
    <t xml:space="preserve">NAME </t>
  </si>
  <si>
    <t>PR</t>
  </si>
  <si>
    <t>YES BANK</t>
  </si>
  <si>
    <t>CASH</t>
  </si>
  <si>
    <t>ADV</t>
  </si>
  <si>
    <t>NET</t>
  </si>
  <si>
    <t>SIGNATURE</t>
  </si>
  <si>
    <t>(12,935-200)=12,700/-  PT DEDUCTED</t>
  </si>
  <si>
    <t>UJJAWALA KOLI</t>
  </si>
  <si>
    <t>KARAN CHAUHAN</t>
  </si>
  <si>
    <t>MANOJ</t>
  </si>
  <si>
    <t xml:space="preserve"> </t>
  </si>
  <si>
    <t>SARITA SAHANI</t>
  </si>
  <si>
    <t>CASH PAID TO DG ON 09-11-2025</t>
  </si>
  <si>
    <t>Clean Sheen Cleaning Services Pvt Ltd</t>
  </si>
  <si>
    <t>NAME :- Ujjawala Koli</t>
  </si>
  <si>
    <t>Working Days</t>
  </si>
  <si>
    <t>Designat. HK</t>
  </si>
  <si>
    <t>Leave</t>
  </si>
  <si>
    <t>Component Name</t>
  </si>
  <si>
    <t>Monthly Salary In INR</t>
  </si>
  <si>
    <t>Annualy Salary IN INR</t>
  </si>
  <si>
    <t>Annual CTC</t>
  </si>
  <si>
    <t>Monthly Salary</t>
  </si>
  <si>
    <t>FROM APRIL 2025 TO SEP 2025</t>
  </si>
  <si>
    <t>FOR ESIC</t>
  </si>
  <si>
    <t>BB SALARY IN HAND</t>
  </si>
  <si>
    <t>Basic+DA</t>
  </si>
  <si>
    <t xml:space="preserve">70% on Gross </t>
  </si>
  <si>
    <t>BASIC</t>
  </si>
  <si>
    <t>Total Earnings</t>
  </si>
  <si>
    <t>PF</t>
  </si>
  <si>
    <t>LESS</t>
  </si>
  <si>
    <t>Deductions</t>
  </si>
  <si>
    <t>ESIC</t>
  </si>
  <si>
    <t xml:space="preserve">12%on Basic </t>
  </si>
  <si>
    <t>P TAX</t>
  </si>
  <si>
    <t xml:space="preserve">ESIC </t>
  </si>
  <si>
    <t xml:space="preserve">.75 % on Gross </t>
  </si>
  <si>
    <t>NET SALARY</t>
  </si>
  <si>
    <t>PT</t>
  </si>
  <si>
    <t>Advance</t>
  </si>
  <si>
    <t>Total Deductions</t>
  </si>
  <si>
    <t>Net In Hand</t>
  </si>
  <si>
    <t xml:space="preserve">Employer Contribution </t>
  </si>
  <si>
    <t xml:space="preserve">PF </t>
  </si>
  <si>
    <t>12% Basic</t>
  </si>
  <si>
    <t xml:space="preserve">3.25% on Gross </t>
  </si>
  <si>
    <t>No of days</t>
  </si>
  <si>
    <t>Calculation</t>
  </si>
  <si>
    <t>CTC</t>
  </si>
  <si>
    <t>NAME :- KARAN CHAUHAN</t>
  </si>
  <si>
    <t>NAME :- ANTIMA</t>
  </si>
  <si>
    <t>Pay Slip for the month of NOV-2025</t>
  </si>
  <si>
    <t>ANTIMA</t>
  </si>
  <si>
    <t>PREMALA PAVADI</t>
  </si>
  <si>
    <t>AMAN</t>
  </si>
  <si>
    <t>LAKHAN</t>
  </si>
  <si>
    <t>SANDIP</t>
  </si>
  <si>
    <t>VIJAY</t>
  </si>
  <si>
    <t>AYUSH</t>
  </si>
  <si>
    <t>TINU</t>
  </si>
  <si>
    <t>NAME :- PREMLA PAVADI</t>
  </si>
  <si>
    <t>BIGBASKET Attendance/Salary NOV -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</si>
</sst>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3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2" xfId="0" applyFont="1" applyBorder="1"/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3" fillId="0" borderId="2" xfId="0" applyNumberFormat="1" applyFont="1" applyBorder="1"/>
    <xf numFmtId="1" fontId="3" fillId="2" borderId="2" xfId="0" applyNumberFormat="1" applyFont="1" applyFill="1" applyBorder="1"/>
    <xf numFmtId="0" fontId="4" fillId="0" borderId="2" xfId="0" applyFont="1" applyBorder="1"/>
    <xf numFmtId="1" fontId="4" fillId="0" borderId="2" xfId="0" applyNumberFormat="1" applyFont="1" applyBorder="1"/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1" fontId="3" fillId="0" borderId="0" xfId="0" applyNumberFormat="1" applyFont="1" applyFill="1"/>
    <xf numFmtId="1" fontId="3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" fontId="3" fillId="3" borderId="2" xfId="0" applyNumberFormat="1" applyFont="1" applyFill="1" applyBorder="1"/>
    <xf numFmtId="0" fontId="1" fillId="0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F15" sqref="F15"/>
    </sheetView>
  </sheetViews>
  <sheetFormatPr defaultRowHeight="12.75" x14ac:dyDescent="0.35"/>
  <cols>
    <col min="1" max="1" width="6.86328125" style="1" customWidth="1"/>
    <col min="2" max="2" width="23.46484375" style="1" customWidth="1"/>
    <col min="3" max="3" width="7.265625" style="1" customWidth="1"/>
    <col min="4" max="4" width="10.1328125" style="1" customWidth="1"/>
    <col min="5" max="5" width="8.86328125" style="1" customWidth="1"/>
    <col min="6" max="6" width="5.3984375" style="1" customWidth="1"/>
    <col min="7" max="7" width="6.6640625" style="1" customWidth="1"/>
    <col min="8" max="8" width="30.06640625" style="1" customWidth="1"/>
    <col min="9" max="9" width="26.19921875" style="1" customWidth="1"/>
    <col min="10" max="10" width="47.796875" style="1" customWidth="1"/>
    <col min="11" max="16384" width="9.06640625" style="1"/>
  </cols>
  <sheetData>
    <row r="1" spans="1:11" x14ac:dyDescent="0.35">
      <c r="A1" s="28" t="s">
        <v>64</v>
      </c>
      <c r="B1" s="28"/>
      <c r="C1" s="28"/>
      <c r="D1" s="28"/>
      <c r="E1" s="28"/>
      <c r="F1" s="28"/>
      <c r="G1" s="28"/>
      <c r="H1" s="28"/>
    </row>
    <row r="2" spans="1:1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11" x14ac:dyDescent="0.35">
      <c r="A3" s="2">
        <v>1</v>
      </c>
      <c r="B3" s="2" t="s">
        <v>55</v>
      </c>
      <c r="C3" s="2">
        <v>31</v>
      </c>
      <c r="D3" s="2">
        <v>12246</v>
      </c>
      <c r="E3" s="2">
        <v>12700</v>
      </c>
      <c r="F3" s="2">
        <v>0</v>
      </c>
      <c r="G3" s="2">
        <f>E3-F3</f>
        <v>12700</v>
      </c>
      <c r="H3" s="2"/>
      <c r="I3" s="3">
        <f>12700/26*C3</f>
        <v>15142.307692307691</v>
      </c>
      <c r="J3" s="1" t="s">
        <v>8</v>
      </c>
    </row>
    <row r="4" spans="1:11" x14ac:dyDescent="0.35">
      <c r="A4" s="2">
        <v>2</v>
      </c>
      <c r="B4" s="2" t="s">
        <v>9</v>
      </c>
      <c r="C4" s="2">
        <v>27</v>
      </c>
      <c r="D4" s="2">
        <v>11511</v>
      </c>
      <c r="E4" s="2">
        <v>0</v>
      </c>
      <c r="F4" s="2">
        <v>0</v>
      </c>
      <c r="G4" s="2">
        <f t="shared" ref="G4:G14" si="0">E4-F4</f>
        <v>0</v>
      </c>
      <c r="H4" s="2"/>
      <c r="I4" s="3">
        <v>0</v>
      </c>
    </row>
    <row r="5" spans="1:11" x14ac:dyDescent="0.35">
      <c r="A5" s="2">
        <v>3</v>
      </c>
      <c r="B5" s="4" t="s">
        <v>10</v>
      </c>
      <c r="C5" s="4">
        <v>27</v>
      </c>
      <c r="D5" s="5">
        <v>10511</v>
      </c>
      <c r="E5" s="5">
        <v>0</v>
      </c>
      <c r="F5" s="5">
        <v>0</v>
      </c>
      <c r="G5" s="2">
        <f t="shared" si="0"/>
        <v>0</v>
      </c>
      <c r="H5" s="2"/>
      <c r="I5" s="3">
        <v>0</v>
      </c>
    </row>
    <row r="6" spans="1:11" x14ac:dyDescent="0.35">
      <c r="A6" s="2">
        <v>4</v>
      </c>
      <c r="B6" s="6" t="s">
        <v>56</v>
      </c>
      <c r="C6" s="2">
        <v>27</v>
      </c>
      <c r="D6" s="2">
        <v>11511</v>
      </c>
      <c r="E6" s="5">
        <v>7800</v>
      </c>
      <c r="F6" s="5">
        <v>0</v>
      </c>
      <c r="G6" s="2">
        <f t="shared" si="0"/>
        <v>7800</v>
      </c>
      <c r="H6" s="2" t="s">
        <v>12</v>
      </c>
      <c r="I6" s="3">
        <f>12700/26*C6-15</f>
        <v>13173.461538461539</v>
      </c>
      <c r="J6" s="1" t="s">
        <v>12</v>
      </c>
    </row>
    <row r="7" spans="1:11" x14ac:dyDescent="0.35">
      <c r="A7" s="2">
        <v>5</v>
      </c>
      <c r="B7" s="7" t="s">
        <v>13</v>
      </c>
      <c r="C7" s="2">
        <v>31</v>
      </c>
      <c r="D7" s="5">
        <v>0</v>
      </c>
      <c r="E7" s="5">
        <v>15150</v>
      </c>
      <c r="F7" s="5">
        <v>1000</v>
      </c>
      <c r="G7" s="2">
        <f t="shared" si="0"/>
        <v>14150</v>
      </c>
      <c r="H7" s="8" t="s">
        <v>12</v>
      </c>
      <c r="I7" s="3">
        <f>12700/26*C7</f>
        <v>15142.307692307691</v>
      </c>
    </row>
    <row r="8" spans="1:11" x14ac:dyDescent="0.35">
      <c r="A8" s="2">
        <v>6</v>
      </c>
      <c r="B8" s="2" t="s">
        <v>60</v>
      </c>
      <c r="C8" s="2">
        <v>17</v>
      </c>
      <c r="D8" s="5">
        <v>0</v>
      </c>
      <c r="E8" s="5">
        <v>8300</v>
      </c>
      <c r="F8" s="5">
        <v>0</v>
      </c>
      <c r="G8" s="2">
        <f t="shared" si="0"/>
        <v>8300</v>
      </c>
      <c r="H8" s="8"/>
      <c r="I8" s="3">
        <f t="shared" ref="I8:I14" si="1">12700/26*C8</f>
        <v>8303.8461538461543</v>
      </c>
    </row>
    <row r="9" spans="1:11" x14ac:dyDescent="0.35">
      <c r="A9" s="2">
        <v>7</v>
      </c>
      <c r="B9" s="7" t="s">
        <v>57</v>
      </c>
      <c r="C9" s="2">
        <v>1</v>
      </c>
      <c r="D9" s="5">
        <v>0</v>
      </c>
      <c r="E9" s="5">
        <v>500</v>
      </c>
      <c r="F9" s="5">
        <v>0</v>
      </c>
      <c r="G9" s="2">
        <f t="shared" si="0"/>
        <v>500</v>
      </c>
      <c r="H9" s="8"/>
      <c r="I9" s="3">
        <f t="shared" si="1"/>
        <v>488.46153846153845</v>
      </c>
    </row>
    <row r="10" spans="1:11" x14ac:dyDescent="0.35">
      <c r="A10" s="2">
        <v>8</v>
      </c>
      <c r="B10" s="7" t="s">
        <v>58</v>
      </c>
      <c r="C10" s="2">
        <v>26</v>
      </c>
      <c r="D10" s="5">
        <v>0</v>
      </c>
      <c r="E10" s="5">
        <v>12700</v>
      </c>
      <c r="F10" s="5">
        <v>0</v>
      </c>
      <c r="G10" s="2">
        <f t="shared" si="0"/>
        <v>12700</v>
      </c>
      <c r="H10" s="8"/>
      <c r="I10" s="3">
        <f t="shared" si="1"/>
        <v>12700</v>
      </c>
    </row>
    <row r="11" spans="1:11" x14ac:dyDescent="0.35">
      <c r="A11" s="2">
        <v>9</v>
      </c>
      <c r="B11" s="7" t="s">
        <v>11</v>
      </c>
      <c r="C11" s="2">
        <f>9+1+10</f>
        <v>20</v>
      </c>
      <c r="D11" s="5">
        <v>0</v>
      </c>
      <c r="E11" s="5">
        <v>9750</v>
      </c>
      <c r="F11" s="5">
        <v>0</v>
      </c>
      <c r="G11" s="2">
        <f t="shared" si="0"/>
        <v>9750</v>
      </c>
      <c r="H11" s="8"/>
      <c r="I11" s="3">
        <f t="shared" si="1"/>
        <v>9769.2307692307695</v>
      </c>
    </row>
    <row r="12" spans="1:11" x14ac:dyDescent="0.35">
      <c r="A12" s="2">
        <v>10</v>
      </c>
      <c r="B12" s="7" t="s">
        <v>59</v>
      </c>
      <c r="C12" s="2">
        <f>16+6</f>
        <v>22</v>
      </c>
      <c r="D12" s="5">
        <v>0</v>
      </c>
      <c r="E12" s="5">
        <v>10750</v>
      </c>
      <c r="F12" s="5">
        <v>0</v>
      </c>
      <c r="G12" s="2">
        <f t="shared" si="0"/>
        <v>10750</v>
      </c>
      <c r="H12" s="8"/>
      <c r="I12" s="3">
        <f t="shared" si="1"/>
        <v>10746.153846153846</v>
      </c>
    </row>
    <row r="13" spans="1:11" x14ac:dyDescent="0.35">
      <c r="A13" s="2">
        <v>11</v>
      </c>
      <c r="B13" s="7" t="s">
        <v>61</v>
      </c>
      <c r="C13" s="2">
        <v>8</v>
      </c>
      <c r="D13" s="5">
        <v>0</v>
      </c>
      <c r="E13" s="5">
        <v>3900</v>
      </c>
      <c r="F13" s="5">
        <v>0</v>
      </c>
      <c r="G13" s="2">
        <f t="shared" si="0"/>
        <v>3900</v>
      </c>
      <c r="H13" s="8"/>
      <c r="I13" s="3">
        <f t="shared" si="1"/>
        <v>3907.6923076923076</v>
      </c>
    </row>
    <row r="14" spans="1:11" x14ac:dyDescent="0.35">
      <c r="A14" s="2">
        <v>12</v>
      </c>
      <c r="B14" s="7" t="s">
        <v>62</v>
      </c>
      <c r="C14" s="2">
        <v>9</v>
      </c>
      <c r="D14" s="5">
        <v>0</v>
      </c>
      <c r="E14" s="5">
        <v>4400</v>
      </c>
      <c r="F14" s="5">
        <v>0</v>
      </c>
      <c r="G14" s="2">
        <f t="shared" si="0"/>
        <v>4400</v>
      </c>
      <c r="H14" s="8"/>
      <c r="I14" s="3">
        <f t="shared" si="1"/>
        <v>4396.1538461538457</v>
      </c>
    </row>
    <row r="15" spans="1:11" x14ac:dyDescent="0.35">
      <c r="B15" s="9"/>
      <c r="C15" s="2">
        <f>SUM(C3:C14)</f>
        <v>246</v>
      </c>
      <c r="D15" s="5">
        <f>SUM(D3:D14)</f>
        <v>45779</v>
      </c>
      <c r="E15" s="5">
        <f>SUM(E3:E14)</f>
        <v>85950</v>
      </c>
      <c r="F15" s="5">
        <f>SUM(F3:F14)</f>
        <v>1000</v>
      </c>
      <c r="G15" s="5">
        <f>SUM(G3:G14)</f>
        <v>84950</v>
      </c>
      <c r="H15" s="9"/>
      <c r="I15" s="10">
        <f>SUM(I3:I14)</f>
        <v>93769.61538461539</v>
      </c>
      <c r="J15" s="9"/>
      <c r="K15" s="9"/>
    </row>
    <row r="16" spans="1:11" x14ac:dyDescent="0.35"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2:11" x14ac:dyDescent="0.35">
      <c r="B17" s="9"/>
      <c r="C17" s="2">
        <v>500</v>
      </c>
      <c r="D17" s="2">
        <v>0</v>
      </c>
      <c r="E17" s="2">
        <f>C17*D17</f>
        <v>0</v>
      </c>
      <c r="F17" s="9"/>
      <c r="G17" s="9"/>
      <c r="H17" s="9"/>
      <c r="I17" s="9"/>
      <c r="J17" s="9"/>
      <c r="K17" s="9"/>
    </row>
    <row r="18" spans="2:11" x14ac:dyDescent="0.35">
      <c r="B18" s="9"/>
      <c r="C18" s="2">
        <v>200</v>
      </c>
      <c r="D18" s="2">
        <v>0</v>
      </c>
      <c r="E18" s="2">
        <f>C18*D18</f>
        <v>0</v>
      </c>
      <c r="F18" s="9"/>
      <c r="G18" s="9"/>
      <c r="H18" s="9"/>
      <c r="I18" s="9"/>
      <c r="J18" s="9"/>
      <c r="K18" s="9"/>
    </row>
    <row r="19" spans="2:11" x14ac:dyDescent="0.35">
      <c r="B19" s="9"/>
      <c r="C19" s="2">
        <v>100</v>
      </c>
      <c r="D19" s="2">
        <v>0</v>
      </c>
      <c r="E19" s="2">
        <f>C19*D19</f>
        <v>0</v>
      </c>
      <c r="F19" s="9"/>
      <c r="G19" s="9"/>
      <c r="H19" s="9"/>
      <c r="I19" s="9"/>
      <c r="J19" s="9"/>
      <c r="K19" s="9"/>
    </row>
    <row r="20" spans="2:11" x14ac:dyDescent="0.35">
      <c r="B20" s="9"/>
      <c r="C20" s="2">
        <v>50</v>
      </c>
      <c r="D20" s="2">
        <v>0</v>
      </c>
      <c r="E20" s="2">
        <f>C20*D20</f>
        <v>0</v>
      </c>
      <c r="F20" s="9"/>
      <c r="G20" s="9"/>
      <c r="H20" s="9"/>
      <c r="I20" s="9"/>
      <c r="J20" s="9"/>
      <c r="K20" s="9"/>
    </row>
    <row r="21" spans="2:11" x14ac:dyDescent="0.35">
      <c r="B21" s="9"/>
      <c r="C21" s="2"/>
      <c r="D21" s="2"/>
      <c r="E21" s="2">
        <f>SUM(E17:E20)</f>
        <v>0</v>
      </c>
      <c r="F21" s="9" t="s">
        <v>12</v>
      </c>
      <c r="G21" s="9" t="s">
        <v>12</v>
      </c>
      <c r="H21" s="9" t="s">
        <v>14</v>
      </c>
      <c r="I21" s="9"/>
      <c r="J21" s="9"/>
      <c r="K21" s="9"/>
    </row>
    <row r="22" spans="2:11" x14ac:dyDescent="0.35"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2:11" x14ac:dyDescent="0.35"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2:11" x14ac:dyDescent="0.35">
      <c r="B24" s="9"/>
      <c r="C24" s="9"/>
      <c r="D24" s="9"/>
      <c r="E24" s="9"/>
      <c r="F24" s="9"/>
      <c r="G24" s="9"/>
      <c r="H24" s="9"/>
      <c r="I24" s="9" t="s">
        <v>12</v>
      </c>
      <c r="J24" s="9"/>
      <c r="K24" s="9"/>
    </row>
    <row r="25" spans="2:11" x14ac:dyDescent="0.35">
      <c r="B25" s="9"/>
      <c r="C25" s="9"/>
      <c r="D25" s="9"/>
      <c r="E25" s="9"/>
      <c r="F25" s="9"/>
      <c r="G25" s="9"/>
      <c r="H25" s="9"/>
      <c r="I25" s="9" t="s">
        <v>12</v>
      </c>
      <c r="J25" s="9"/>
      <c r="K25" s="9"/>
    </row>
    <row r="26" spans="2:11" x14ac:dyDescent="0.35"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2:11" x14ac:dyDescent="0.35">
      <c r="B27" s="9"/>
      <c r="C27" s="9"/>
      <c r="D27" s="9"/>
      <c r="E27" s="9"/>
      <c r="F27" s="9"/>
      <c r="G27" s="9"/>
      <c r="H27" s="9"/>
      <c r="I27" s="9"/>
      <c r="J27" s="9"/>
      <c r="K27" s="9"/>
    </row>
    <row r="29" spans="2:11" x14ac:dyDescent="0.35">
      <c r="D29" s="1" t="s">
        <v>12</v>
      </c>
      <c r="H29" s="1" t="s">
        <v>12</v>
      </c>
    </row>
  </sheetData>
  <mergeCells count="1">
    <mergeCell ref="A1:H1"/>
  </mergeCells>
  <conditionalFormatting sqref="B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B16" sqref="B16"/>
    </sheetView>
  </sheetViews>
  <sheetFormatPr defaultColWidth="8.265625" defaultRowHeight="13.5" x14ac:dyDescent="0.35"/>
  <cols>
    <col min="1" max="1" width="29.1328125" style="11" customWidth="1"/>
    <col min="2" max="3" width="20.265625" style="11" bestFit="1" customWidth="1"/>
    <col min="4" max="4" width="16.1328125" style="11" customWidth="1"/>
    <col min="5" max="5" width="9" style="11" customWidth="1"/>
    <col min="6" max="6" width="20.73046875" style="11" customWidth="1"/>
    <col min="7" max="7" width="12.59765625" style="11" customWidth="1"/>
    <col min="8" max="8" width="9.265625" style="11" customWidth="1"/>
    <col min="9" max="10" width="8.265625" style="11"/>
    <col min="11" max="11" width="7.1328125" style="11" customWidth="1"/>
    <col min="12" max="16384" width="8.265625" style="11"/>
  </cols>
  <sheetData>
    <row r="1" spans="1:9" x14ac:dyDescent="0.35">
      <c r="A1" s="29" t="s">
        <v>15</v>
      </c>
      <c r="B1" s="29"/>
      <c r="C1" s="29"/>
      <c r="D1" s="29"/>
    </row>
    <row r="2" spans="1:9" x14ac:dyDescent="0.35">
      <c r="A2" s="30" t="s">
        <v>54</v>
      </c>
      <c r="B2" s="30"/>
      <c r="C2" s="30"/>
      <c r="D2" s="30"/>
    </row>
    <row r="3" spans="1:9" x14ac:dyDescent="0.35">
      <c r="A3" s="12" t="s">
        <v>53</v>
      </c>
      <c r="B3" s="13"/>
      <c r="C3" s="12" t="s">
        <v>17</v>
      </c>
      <c r="D3" s="12">
        <v>31</v>
      </c>
      <c r="E3" s="11" t="s">
        <v>12</v>
      </c>
    </row>
    <row r="4" spans="1:9" x14ac:dyDescent="0.35">
      <c r="A4" s="12" t="s">
        <v>18</v>
      </c>
      <c r="B4" s="14"/>
      <c r="C4" s="12" t="s">
        <v>19</v>
      </c>
      <c r="D4" s="12">
        <v>0</v>
      </c>
    </row>
    <row r="5" spans="1:9" x14ac:dyDescent="0.35">
      <c r="A5" s="15" t="s">
        <v>20</v>
      </c>
      <c r="B5" s="15" t="s">
        <v>21</v>
      </c>
      <c r="C5" s="16" t="s">
        <v>22</v>
      </c>
      <c r="D5" s="12"/>
    </row>
    <row r="6" spans="1:9" x14ac:dyDescent="0.35">
      <c r="A6" s="17" t="s">
        <v>23</v>
      </c>
      <c r="B6" s="18"/>
      <c r="C6" s="19">
        <v>89076</v>
      </c>
      <c r="D6" s="12"/>
      <c r="G6" s="11" t="s">
        <v>12</v>
      </c>
    </row>
    <row r="7" spans="1:9" x14ac:dyDescent="0.35">
      <c r="A7" s="20" t="s">
        <v>24</v>
      </c>
      <c r="B7" s="20">
        <f>(12935)/26*D3</f>
        <v>15422.5</v>
      </c>
      <c r="C7" s="12"/>
      <c r="D7" s="12"/>
      <c r="E7" s="21"/>
      <c r="F7" s="31" t="s">
        <v>25</v>
      </c>
      <c r="G7" s="32"/>
      <c r="H7" s="22"/>
      <c r="I7" s="21"/>
    </row>
    <row r="8" spans="1:9" x14ac:dyDescent="0.35">
      <c r="A8" s="20" t="s">
        <v>26</v>
      </c>
      <c r="B8" s="17">
        <f>(12935+1128)/26*D3</f>
        <v>16767.423076923074</v>
      </c>
      <c r="C8" s="12"/>
      <c r="D8" s="12"/>
      <c r="E8" s="21"/>
      <c r="F8" s="31" t="s">
        <v>27</v>
      </c>
      <c r="G8" s="32"/>
      <c r="H8" s="23"/>
      <c r="I8" s="21"/>
    </row>
    <row r="9" spans="1:9" x14ac:dyDescent="0.35">
      <c r="A9" s="17" t="s">
        <v>28</v>
      </c>
      <c r="B9" s="17">
        <v>12935</v>
      </c>
      <c r="C9" s="17">
        <v>70428</v>
      </c>
      <c r="D9" s="12" t="s">
        <v>29</v>
      </c>
      <c r="E9" s="24"/>
      <c r="F9" s="25">
        <v>12935</v>
      </c>
      <c r="G9" s="26" t="s">
        <v>30</v>
      </c>
      <c r="H9" s="21"/>
      <c r="I9" s="21"/>
    </row>
    <row r="10" spans="1:9" x14ac:dyDescent="0.35">
      <c r="A10" s="20" t="s">
        <v>31</v>
      </c>
      <c r="B10" s="20">
        <f>(B9/26)*D3</f>
        <v>15422.5</v>
      </c>
      <c r="C10" s="17">
        <v>100620</v>
      </c>
      <c r="D10" s="12"/>
      <c r="E10" s="24"/>
      <c r="F10" s="25">
        <f>F9*12%</f>
        <v>1552.2</v>
      </c>
      <c r="G10" s="26" t="s">
        <v>32</v>
      </c>
      <c r="H10" s="21" t="s">
        <v>33</v>
      </c>
      <c r="I10" s="21"/>
    </row>
    <row r="11" spans="1:9" x14ac:dyDescent="0.35">
      <c r="A11" s="20" t="s">
        <v>34</v>
      </c>
      <c r="B11" s="17"/>
      <c r="C11" s="17"/>
      <c r="D11" s="12"/>
      <c r="E11" s="21"/>
      <c r="F11" s="25">
        <f>(12935+1128)*0.75%</f>
        <v>105.4725</v>
      </c>
      <c r="G11" s="26" t="s">
        <v>35</v>
      </c>
      <c r="H11" s="21" t="s">
        <v>33</v>
      </c>
      <c r="I11" s="21"/>
    </row>
    <row r="12" spans="1:9" x14ac:dyDescent="0.35">
      <c r="A12" s="17" t="s">
        <v>32</v>
      </c>
      <c r="B12" s="17">
        <f>B7*12%</f>
        <v>1850.6999999999998</v>
      </c>
      <c r="C12" s="17">
        <v>8451.36</v>
      </c>
      <c r="D12" s="12" t="s">
        <v>36</v>
      </c>
      <c r="E12" s="21"/>
      <c r="F12" s="26">
        <v>200</v>
      </c>
      <c r="G12" s="26" t="s">
        <v>37</v>
      </c>
      <c r="H12" s="21" t="s">
        <v>33</v>
      </c>
      <c r="I12" s="21"/>
    </row>
    <row r="13" spans="1:9" x14ac:dyDescent="0.35">
      <c r="A13" s="17" t="s">
        <v>38</v>
      </c>
      <c r="B13" s="17">
        <f>B8*0.75%</f>
        <v>125.75567307692306</v>
      </c>
      <c r="C13" s="17">
        <v>1558.83</v>
      </c>
      <c r="D13" s="12" t="s">
        <v>39</v>
      </c>
      <c r="E13" s="21"/>
      <c r="F13" s="25">
        <f>F9-(SUM(F10:F12))</f>
        <v>11077.327499999999</v>
      </c>
      <c r="G13" s="26" t="s">
        <v>40</v>
      </c>
      <c r="H13" s="21"/>
      <c r="I13" s="21"/>
    </row>
    <row r="14" spans="1:9" x14ac:dyDescent="0.35">
      <c r="A14" s="17" t="s">
        <v>41</v>
      </c>
      <c r="B14" s="17">
        <v>200</v>
      </c>
      <c r="C14" s="17">
        <v>960</v>
      </c>
      <c r="D14" s="12"/>
      <c r="E14" s="21"/>
      <c r="F14" s="21"/>
      <c r="G14" s="21"/>
      <c r="H14" s="21"/>
      <c r="I14" s="21"/>
    </row>
    <row r="15" spans="1:9" x14ac:dyDescent="0.35">
      <c r="A15" s="17" t="s">
        <v>42</v>
      </c>
      <c r="B15" s="20">
        <v>1000</v>
      </c>
      <c r="C15" s="20">
        <v>10970.19</v>
      </c>
      <c r="D15" s="12"/>
      <c r="E15" s="21"/>
      <c r="F15" s="21"/>
      <c r="G15" s="21"/>
      <c r="H15" s="21"/>
      <c r="I15" s="21"/>
    </row>
    <row r="16" spans="1:9" x14ac:dyDescent="0.35">
      <c r="A16" s="20" t="s">
        <v>43</v>
      </c>
      <c r="B16" s="20">
        <f>B12+B13+B14+B15</f>
        <v>3176.4556730769227</v>
      </c>
      <c r="C16" s="20">
        <v>89649.81</v>
      </c>
      <c r="D16" s="12"/>
      <c r="E16" s="21"/>
      <c r="F16" s="21"/>
      <c r="G16" s="21"/>
      <c r="H16" s="21"/>
      <c r="I16" s="21"/>
    </row>
    <row r="17" spans="1:12" x14ac:dyDescent="0.35">
      <c r="A17" s="27" t="s">
        <v>44</v>
      </c>
      <c r="B17" s="27">
        <f>B10-B16</f>
        <v>12246.044326923078</v>
      </c>
      <c r="C17" s="17"/>
      <c r="D17" s="12"/>
      <c r="E17" s="21"/>
      <c r="F17" s="21"/>
      <c r="G17" s="21"/>
      <c r="H17" s="21"/>
      <c r="I17" s="21"/>
      <c r="L17" s="11" t="s">
        <v>12</v>
      </c>
    </row>
    <row r="18" spans="1:12" x14ac:dyDescent="0.35">
      <c r="A18" s="17" t="s">
        <v>45</v>
      </c>
      <c r="B18" s="17"/>
      <c r="C18" s="17"/>
      <c r="D18" s="12"/>
      <c r="E18" s="21" t="s">
        <v>12</v>
      </c>
      <c r="F18" s="21"/>
      <c r="G18" s="21"/>
      <c r="H18" s="21"/>
      <c r="I18" s="21"/>
    </row>
    <row r="19" spans="1:12" x14ac:dyDescent="0.35">
      <c r="A19" s="17" t="s">
        <v>46</v>
      </c>
      <c r="B19" s="17">
        <f>B10*13%</f>
        <v>2004.9250000000002</v>
      </c>
      <c r="C19" s="17">
        <v>8451.36</v>
      </c>
      <c r="D19" s="12" t="s">
        <v>47</v>
      </c>
    </row>
    <row r="20" spans="1:12" x14ac:dyDescent="0.35">
      <c r="A20" s="17" t="s">
        <v>38</v>
      </c>
      <c r="B20" s="17">
        <f>B8*3.25%</f>
        <v>544.94124999999997</v>
      </c>
      <c r="C20" s="17">
        <v>4231.1100000000006</v>
      </c>
      <c r="D20" s="12" t="s">
        <v>48</v>
      </c>
    </row>
    <row r="21" spans="1:12" x14ac:dyDescent="0.35">
      <c r="A21" s="12" t="s">
        <v>49</v>
      </c>
      <c r="B21" s="12">
        <f>+D3</f>
        <v>31</v>
      </c>
      <c r="C21" s="12"/>
      <c r="D21" s="12"/>
    </row>
    <row r="22" spans="1:12" x14ac:dyDescent="0.35">
      <c r="A22" s="12" t="s">
        <v>19</v>
      </c>
      <c r="B22" s="12">
        <f>+D4</f>
        <v>0</v>
      </c>
      <c r="C22" s="12"/>
      <c r="D22" s="12"/>
    </row>
    <row r="23" spans="1:12" x14ac:dyDescent="0.35">
      <c r="A23" s="12" t="s">
        <v>50</v>
      </c>
      <c r="B23" s="17">
        <v>0</v>
      </c>
      <c r="C23" s="12"/>
      <c r="D23" s="12"/>
    </row>
    <row r="24" spans="1:12" x14ac:dyDescent="0.35">
      <c r="A24" s="12" t="s">
        <v>51</v>
      </c>
      <c r="B24" s="17">
        <f>+B10+B19+B20</f>
        <v>17972.366249999999</v>
      </c>
      <c r="C24" s="12"/>
      <c r="D24" s="12"/>
      <c r="G24" s="11" t="s">
        <v>12</v>
      </c>
    </row>
  </sheetData>
  <mergeCells count="4">
    <mergeCell ref="A1:D1"/>
    <mergeCell ref="A2:D2"/>
    <mergeCell ref="F7:G7"/>
    <mergeCell ref="F8:G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B16" sqref="B16"/>
    </sheetView>
  </sheetViews>
  <sheetFormatPr defaultColWidth="8.265625" defaultRowHeight="13.5" x14ac:dyDescent="0.35"/>
  <cols>
    <col min="1" max="1" width="29.1328125" style="11" customWidth="1"/>
    <col min="2" max="3" width="20.265625" style="11" bestFit="1" customWidth="1"/>
    <col min="4" max="4" width="16.1328125" style="11" customWidth="1"/>
    <col min="5" max="5" width="9" style="11" customWidth="1"/>
    <col min="6" max="6" width="20.73046875" style="11" customWidth="1"/>
    <col min="7" max="7" width="12.59765625" style="11" customWidth="1"/>
    <col min="8" max="8" width="9.265625" style="11" customWidth="1"/>
    <col min="9" max="10" width="8.265625" style="11"/>
    <col min="11" max="11" width="7.1328125" style="11" customWidth="1"/>
    <col min="12" max="16384" width="8.265625" style="11"/>
  </cols>
  <sheetData>
    <row r="1" spans="1:9" x14ac:dyDescent="0.35">
      <c r="A1" s="29" t="s">
        <v>15</v>
      </c>
      <c r="B1" s="29"/>
      <c r="C1" s="29"/>
      <c r="D1" s="29"/>
    </row>
    <row r="2" spans="1:9" x14ac:dyDescent="0.35">
      <c r="A2" s="30" t="s">
        <v>54</v>
      </c>
      <c r="B2" s="30"/>
      <c r="C2" s="30"/>
      <c r="D2" s="30"/>
    </row>
    <row r="3" spans="1:9" x14ac:dyDescent="0.35">
      <c r="A3" s="12" t="s">
        <v>52</v>
      </c>
      <c r="B3" s="13"/>
      <c r="C3" s="12" t="s">
        <v>17</v>
      </c>
      <c r="D3" s="12">
        <v>27</v>
      </c>
      <c r="E3" s="11" t="s">
        <v>12</v>
      </c>
    </row>
    <row r="4" spans="1:9" x14ac:dyDescent="0.35">
      <c r="A4" s="12" t="s">
        <v>18</v>
      </c>
      <c r="B4" s="14"/>
      <c r="C4" s="12" t="s">
        <v>19</v>
      </c>
      <c r="D4" s="12">
        <v>0</v>
      </c>
    </row>
    <row r="5" spans="1:9" x14ac:dyDescent="0.35">
      <c r="A5" s="15" t="s">
        <v>20</v>
      </c>
      <c r="B5" s="15" t="s">
        <v>21</v>
      </c>
      <c r="C5" s="16" t="s">
        <v>22</v>
      </c>
      <c r="D5" s="12"/>
    </row>
    <row r="6" spans="1:9" x14ac:dyDescent="0.35">
      <c r="A6" s="17" t="s">
        <v>23</v>
      </c>
      <c r="B6" s="18"/>
      <c r="C6" s="19">
        <v>89076</v>
      </c>
      <c r="D6" s="12"/>
      <c r="G6" s="11" t="s">
        <v>12</v>
      </c>
    </row>
    <row r="7" spans="1:9" x14ac:dyDescent="0.35">
      <c r="A7" s="20" t="s">
        <v>24</v>
      </c>
      <c r="B7" s="20">
        <f>(12935)/26*D3</f>
        <v>13432.5</v>
      </c>
      <c r="C7" s="12"/>
      <c r="D7" s="12"/>
      <c r="E7" s="21"/>
      <c r="F7" s="31" t="s">
        <v>25</v>
      </c>
      <c r="G7" s="32"/>
      <c r="H7" s="22"/>
      <c r="I7" s="21"/>
    </row>
    <row r="8" spans="1:9" x14ac:dyDescent="0.35">
      <c r="A8" s="20" t="s">
        <v>26</v>
      </c>
      <c r="B8" s="17">
        <f>(12935+1128)/26*D3</f>
        <v>14603.884615384615</v>
      </c>
      <c r="C8" s="12"/>
      <c r="D8" s="12"/>
      <c r="E8" s="21"/>
      <c r="F8" s="31" t="s">
        <v>27</v>
      </c>
      <c r="G8" s="32"/>
      <c r="H8" s="23"/>
      <c r="I8" s="21"/>
    </row>
    <row r="9" spans="1:9" x14ac:dyDescent="0.35">
      <c r="A9" s="17" t="s">
        <v>28</v>
      </c>
      <c r="B9" s="17">
        <v>12935</v>
      </c>
      <c r="C9" s="17">
        <v>70428</v>
      </c>
      <c r="D9" s="12" t="s">
        <v>29</v>
      </c>
      <c r="E9" s="24"/>
      <c r="F9" s="25">
        <v>12935</v>
      </c>
      <c r="G9" s="26" t="s">
        <v>30</v>
      </c>
      <c r="H9" s="21"/>
      <c r="I9" s="21"/>
    </row>
    <row r="10" spans="1:9" x14ac:dyDescent="0.35">
      <c r="A10" s="20" t="s">
        <v>31</v>
      </c>
      <c r="B10" s="20">
        <f>(B9/26)*D3</f>
        <v>13432.5</v>
      </c>
      <c r="C10" s="17">
        <v>100620</v>
      </c>
      <c r="D10" s="12"/>
      <c r="E10" s="24"/>
      <c r="F10" s="25">
        <f>F9*12%</f>
        <v>1552.2</v>
      </c>
      <c r="G10" s="26" t="s">
        <v>32</v>
      </c>
      <c r="H10" s="21" t="s">
        <v>33</v>
      </c>
      <c r="I10" s="21"/>
    </row>
    <row r="11" spans="1:9" x14ac:dyDescent="0.35">
      <c r="A11" s="20" t="s">
        <v>34</v>
      </c>
      <c r="B11" s="17"/>
      <c r="C11" s="17"/>
      <c r="D11" s="12"/>
      <c r="E11" s="21"/>
      <c r="F11" s="25">
        <f>(12935+1128)*0.75%</f>
        <v>105.4725</v>
      </c>
      <c r="G11" s="26" t="s">
        <v>35</v>
      </c>
      <c r="H11" s="21" t="s">
        <v>33</v>
      </c>
      <c r="I11" s="21"/>
    </row>
    <row r="12" spans="1:9" x14ac:dyDescent="0.35">
      <c r="A12" s="17" t="s">
        <v>32</v>
      </c>
      <c r="B12" s="17">
        <f>B7*12%</f>
        <v>1611.8999999999999</v>
      </c>
      <c r="C12" s="17">
        <v>8451.36</v>
      </c>
      <c r="D12" s="12" t="s">
        <v>36</v>
      </c>
      <c r="E12" s="21"/>
      <c r="F12" s="26">
        <v>200</v>
      </c>
      <c r="G12" s="26" t="s">
        <v>37</v>
      </c>
      <c r="H12" s="21" t="s">
        <v>33</v>
      </c>
      <c r="I12" s="21"/>
    </row>
    <row r="13" spans="1:9" x14ac:dyDescent="0.35">
      <c r="A13" s="17" t="s">
        <v>38</v>
      </c>
      <c r="B13" s="17">
        <f>B8*0.75%</f>
        <v>109.52913461538461</v>
      </c>
      <c r="C13" s="17">
        <v>1558.83</v>
      </c>
      <c r="D13" s="12" t="s">
        <v>39</v>
      </c>
      <c r="E13" s="21"/>
      <c r="F13" s="25">
        <f>F9-(SUM(F10:F12))</f>
        <v>11077.327499999999</v>
      </c>
      <c r="G13" s="26" t="s">
        <v>40</v>
      </c>
      <c r="H13" s="21"/>
      <c r="I13" s="21"/>
    </row>
    <row r="14" spans="1:9" x14ac:dyDescent="0.35">
      <c r="A14" s="17" t="s">
        <v>41</v>
      </c>
      <c r="B14" s="17">
        <v>200</v>
      </c>
      <c r="C14" s="17">
        <v>960</v>
      </c>
      <c r="D14" s="12"/>
      <c r="E14" s="21"/>
      <c r="F14" s="21"/>
      <c r="G14" s="21"/>
      <c r="H14" s="21"/>
      <c r="I14" s="21"/>
    </row>
    <row r="15" spans="1:9" x14ac:dyDescent="0.35">
      <c r="A15" s="17" t="s">
        <v>42</v>
      </c>
      <c r="B15" s="20">
        <v>1000</v>
      </c>
      <c r="C15" s="20">
        <v>10970.19</v>
      </c>
      <c r="D15" s="12"/>
      <c r="E15" s="21"/>
      <c r="F15" s="21"/>
      <c r="G15" s="21"/>
      <c r="H15" s="21"/>
      <c r="I15" s="21"/>
    </row>
    <row r="16" spans="1:9" x14ac:dyDescent="0.35">
      <c r="A16" s="20" t="s">
        <v>43</v>
      </c>
      <c r="B16" s="20">
        <f>B12+B13+B14+B15</f>
        <v>2921.4291346153846</v>
      </c>
      <c r="C16" s="20">
        <v>89649.81</v>
      </c>
      <c r="D16" s="12"/>
      <c r="E16" s="21"/>
      <c r="F16" s="21"/>
      <c r="G16" s="21"/>
      <c r="H16" s="21"/>
      <c r="I16" s="21"/>
    </row>
    <row r="17" spans="1:12" x14ac:dyDescent="0.35">
      <c r="A17" s="27" t="s">
        <v>44</v>
      </c>
      <c r="B17" s="27">
        <f>B10-B16</f>
        <v>10511.070865384616</v>
      </c>
      <c r="C17" s="17"/>
      <c r="D17" s="12"/>
      <c r="E17" s="21"/>
      <c r="F17" s="21"/>
      <c r="G17" s="21"/>
      <c r="H17" s="21"/>
      <c r="I17" s="21"/>
      <c r="L17" s="11" t="s">
        <v>12</v>
      </c>
    </row>
    <row r="18" spans="1:12" x14ac:dyDescent="0.35">
      <c r="A18" s="17" t="s">
        <v>45</v>
      </c>
      <c r="B18" s="17"/>
      <c r="C18" s="17"/>
      <c r="D18" s="12"/>
      <c r="E18" s="21" t="s">
        <v>12</v>
      </c>
      <c r="F18" s="21"/>
      <c r="G18" s="21"/>
      <c r="H18" s="21"/>
      <c r="I18" s="21"/>
    </row>
    <row r="19" spans="1:12" x14ac:dyDescent="0.35">
      <c r="A19" s="17" t="s">
        <v>46</v>
      </c>
      <c r="B19" s="17">
        <f>B10*13%</f>
        <v>1746.2250000000001</v>
      </c>
      <c r="C19" s="17">
        <v>8451.36</v>
      </c>
      <c r="D19" s="12" t="s">
        <v>47</v>
      </c>
    </row>
    <row r="20" spans="1:12" x14ac:dyDescent="0.35">
      <c r="A20" s="17" t="s">
        <v>38</v>
      </c>
      <c r="B20" s="17">
        <f>B8*3.25%</f>
        <v>474.62625000000003</v>
      </c>
      <c r="C20" s="17">
        <v>4231.1100000000006</v>
      </c>
      <c r="D20" s="12" t="s">
        <v>48</v>
      </c>
    </row>
    <row r="21" spans="1:12" x14ac:dyDescent="0.35">
      <c r="A21" s="12" t="s">
        <v>49</v>
      </c>
      <c r="B21" s="12">
        <f>+D3</f>
        <v>27</v>
      </c>
      <c r="C21" s="12"/>
      <c r="D21" s="12"/>
    </row>
    <row r="22" spans="1:12" x14ac:dyDescent="0.35">
      <c r="A22" s="12" t="s">
        <v>19</v>
      </c>
      <c r="B22" s="12">
        <f>+D4</f>
        <v>0</v>
      </c>
      <c r="C22" s="12"/>
      <c r="D22" s="12"/>
    </row>
    <row r="23" spans="1:12" x14ac:dyDescent="0.35">
      <c r="A23" s="12" t="s">
        <v>50</v>
      </c>
      <c r="B23" s="17">
        <v>0</v>
      </c>
      <c r="C23" s="12"/>
      <c r="D23" s="12"/>
    </row>
    <row r="24" spans="1:12" x14ac:dyDescent="0.35">
      <c r="A24" s="12" t="s">
        <v>51</v>
      </c>
      <c r="B24" s="17">
        <f>+B10+B19+B20</f>
        <v>15653.35125</v>
      </c>
      <c r="C24" s="12"/>
      <c r="D24" s="12"/>
      <c r="G24" s="11" t="s">
        <v>12</v>
      </c>
    </row>
  </sheetData>
  <mergeCells count="4">
    <mergeCell ref="A1:D1"/>
    <mergeCell ref="A2:D2"/>
    <mergeCell ref="F7:G7"/>
    <mergeCell ref="F8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B19" sqref="B19"/>
    </sheetView>
  </sheetViews>
  <sheetFormatPr defaultColWidth="8.265625" defaultRowHeight="13.5" x14ac:dyDescent="0.35"/>
  <cols>
    <col min="1" max="1" width="29.1328125" style="11" customWidth="1"/>
    <col min="2" max="3" width="20.265625" style="11" bestFit="1" customWidth="1"/>
    <col min="4" max="4" width="16.1328125" style="11" customWidth="1"/>
    <col min="5" max="5" width="9" style="11" customWidth="1"/>
    <col min="6" max="6" width="20.73046875" style="11" customWidth="1"/>
    <col min="7" max="7" width="12.59765625" style="11" customWidth="1"/>
    <col min="8" max="8" width="9.265625" style="11" customWidth="1"/>
    <col min="9" max="10" width="8.265625" style="11"/>
    <col min="11" max="11" width="7.1328125" style="11" customWidth="1"/>
    <col min="12" max="16384" width="8.265625" style="11"/>
  </cols>
  <sheetData>
    <row r="1" spans="1:9" x14ac:dyDescent="0.35">
      <c r="A1" s="29" t="s">
        <v>15</v>
      </c>
      <c r="B1" s="29"/>
      <c r="C1" s="29"/>
      <c r="D1" s="29"/>
    </row>
    <row r="2" spans="1:9" x14ac:dyDescent="0.35">
      <c r="A2" s="30" t="s">
        <v>54</v>
      </c>
      <c r="B2" s="30"/>
      <c r="C2" s="30"/>
      <c r="D2" s="30"/>
    </row>
    <row r="3" spans="1:9" x14ac:dyDescent="0.35">
      <c r="A3" s="12" t="s">
        <v>16</v>
      </c>
      <c r="B3" s="13"/>
      <c r="C3" s="12" t="s">
        <v>17</v>
      </c>
      <c r="D3" s="12">
        <v>27</v>
      </c>
      <c r="E3" s="11" t="s">
        <v>12</v>
      </c>
    </row>
    <row r="4" spans="1:9" x14ac:dyDescent="0.35">
      <c r="A4" s="12" t="s">
        <v>18</v>
      </c>
      <c r="B4" s="14"/>
      <c r="C4" s="12" t="s">
        <v>19</v>
      </c>
      <c r="D4" s="12">
        <v>0</v>
      </c>
    </row>
    <row r="5" spans="1:9" x14ac:dyDescent="0.35">
      <c r="A5" s="15" t="s">
        <v>20</v>
      </c>
      <c r="B5" s="15" t="s">
        <v>21</v>
      </c>
      <c r="C5" s="16" t="s">
        <v>22</v>
      </c>
      <c r="D5" s="12"/>
    </row>
    <row r="6" spans="1:9" x14ac:dyDescent="0.35">
      <c r="A6" s="17" t="s">
        <v>23</v>
      </c>
      <c r="B6" s="18"/>
      <c r="C6" s="19">
        <v>89076</v>
      </c>
      <c r="D6" s="12"/>
      <c r="G6" s="11" t="s">
        <v>12</v>
      </c>
    </row>
    <row r="7" spans="1:9" x14ac:dyDescent="0.35">
      <c r="A7" s="20" t="s">
        <v>24</v>
      </c>
      <c r="B7" s="20">
        <f>(12935)/26*D3</f>
        <v>13432.5</v>
      </c>
      <c r="C7" s="12"/>
      <c r="D7" s="12"/>
      <c r="E7" s="21"/>
      <c r="F7" s="31" t="s">
        <v>25</v>
      </c>
      <c r="G7" s="32"/>
      <c r="H7" s="22"/>
      <c r="I7" s="21"/>
    </row>
    <row r="8" spans="1:9" x14ac:dyDescent="0.35">
      <c r="A8" s="20" t="s">
        <v>26</v>
      </c>
      <c r="B8" s="17">
        <f>(12935+1128)/26*D3</f>
        <v>14603.884615384615</v>
      </c>
      <c r="C8" s="12"/>
      <c r="D8" s="12"/>
      <c r="E8" s="21"/>
      <c r="F8" s="31" t="s">
        <v>27</v>
      </c>
      <c r="G8" s="32"/>
      <c r="H8" s="23"/>
      <c r="I8" s="21"/>
    </row>
    <row r="9" spans="1:9" x14ac:dyDescent="0.35">
      <c r="A9" s="17" t="s">
        <v>28</v>
      </c>
      <c r="B9" s="17">
        <v>12935</v>
      </c>
      <c r="C9" s="17">
        <v>70428</v>
      </c>
      <c r="D9" s="12" t="s">
        <v>29</v>
      </c>
      <c r="E9" s="24"/>
      <c r="F9" s="25">
        <v>12935</v>
      </c>
      <c r="G9" s="26" t="s">
        <v>30</v>
      </c>
      <c r="H9" s="21"/>
      <c r="I9" s="21"/>
    </row>
    <row r="10" spans="1:9" x14ac:dyDescent="0.35">
      <c r="A10" s="20" t="s">
        <v>31</v>
      </c>
      <c r="B10" s="20">
        <f>(B9/26)*D3</f>
        <v>13432.5</v>
      </c>
      <c r="C10" s="17">
        <v>100620</v>
      </c>
      <c r="D10" s="12"/>
      <c r="E10" s="24"/>
      <c r="F10" s="25">
        <f>F9*12%</f>
        <v>1552.2</v>
      </c>
      <c r="G10" s="26" t="s">
        <v>32</v>
      </c>
      <c r="H10" s="21" t="s">
        <v>33</v>
      </c>
      <c r="I10" s="21"/>
    </row>
    <row r="11" spans="1:9" x14ac:dyDescent="0.35">
      <c r="A11" s="20" t="s">
        <v>34</v>
      </c>
      <c r="B11" s="17"/>
      <c r="C11" s="17"/>
      <c r="D11" s="12"/>
      <c r="E11" s="21"/>
      <c r="F11" s="25">
        <f>(12935+1128)*0.75%</f>
        <v>105.4725</v>
      </c>
      <c r="G11" s="26" t="s">
        <v>35</v>
      </c>
      <c r="H11" s="21" t="s">
        <v>33</v>
      </c>
      <c r="I11" s="21"/>
    </row>
    <row r="12" spans="1:9" x14ac:dyDescent="0.35">
      <c r="A12" s="17" t="s">
        <v>32</v>
      </c>
      <c r="B12" s="17">
        <f>B7*12%</f>
        <v>1611.8999999999999</v>
      </c>
      <c r="C12" s="17">
        <v>8451.36</v>
      </c>
      <c r="D12" s="12" t="s">
        <v>36</v>
      </c>
      <c r="E12" s="21"/>
      <c r="F12" s="26">
        <v>200</v>
      </c>
      <c r="G12" s="26" t="s">
        <v>37</v>
      </c>
      <c r="H12" s="21" t="s">
        <v>33</v>
      </c>
      <c r="I12" s="21"/>
    </row>
    <row r="13" spans="1:9" x14ac:dyDescent="0.35">
      <c r="A13" s="17" t="s">
        <v>38</v>
      </c>
      <c r="B13" s="17">
        <f>B8*0.75%</f>
        <v>109.52913461538461</v>
      </c>
      <c r="C13" s="17">
        <v>1558.83</v>
      </c>
      <c r="D13" s="12" t="s">
        <v>39</v>
      </c>
      <c r="E13" s="21"/>
      <c r="F13" s="25">
        <f>F9-(SUM(F10:F12))</f>
        <v>11077.327499999999</v>
      </c>
      <c r="G13" s="26" t="s">
        <v>40</v>
      </c>
      <c r="H13" s="21"/>
      <c r="I13" s="21"/>
    </row>
    <row r="14" spans="1:9" x14ac:dyDescent="0.35">
      <c r="A14" s="17" t="s">
        <v>41</v>
      </c>
      <c r="B14" s="17">
        <v>200</v>
      </c>
      <c r="C14" s="17">
        <v>960</v>
      </c>
      <c r="D14" s="12"/>
      <c r="E14" s="21"/>
      <c r="F14" s="21"/>
      <c r="G14" s="21"/>
      <c r="H14" s="21"/>
      <c r="I14" s="21"/>
    </row>
    <row r="15" spans="1:9" x14ac:dyDescent="0.35">
      <c r="A15" s="17" t="s">
        <v>42</v>
      </c>
      <c r="B15" s="20">
        <v>0</v>
      </c>
      <c r="C15" s="20">
        <v>10970.19</v>
      </c>
      <c r="D15" s="12"/>
      <c r="E15" s="21"/>
      <c r="F15" s="21"/>
      <c r="G15" s="21"/>
      <c r="H15" s="21"/>
      <c r="I15" s="21"/>
    </row>
    <row r="16" spans="1:9" x14ac:dyDescent="0.35">
      <c r="A16" s="20" t="s">
        <v>43</v>
      </c>
      <c r="B16" s="20">
        <f>B12+B13+B14+B15</f>
        <v>1921.4291346153846</v>
      </c>
      <c r="C16" s="20">
        <v>89649.81</v>
      </c>
      <c r="D16" s="12"/>
      <c r="E16" s="21"/>
      <c r="F16" s="21"/>
      <c r="G16" s="21"/>
      <c r="H16" s="21"/>
      <c r="I16" s="21"/>
    </row>
    <row r="17" spans="1:12" x14ac:dyDescent="0.35">
      <c r="A17" s="27" t="s">
        <v>44</v>
      </c>
      <c r="B17" s="27">
        <f>B10-B16</f>
        <v>11511.070865384616</v>
      </c>
      <c r="C17" s="17"/>
      <c r="D17" s="12"/>
      <c r="E17" s="21"/>
      <c r="F17" s="21"/>
      <c r="G17" s="21"/>
      <c r="H17" s="21"/>
      <c r="I17" s="21"/>
      <c r="L17" s="11" t="s">
        <v>12</v>
      </c>
    </row>
    <row r="18" spans="1:12" x14ac:dyDescent="0.35">
      <c r="A18" s="17" t="s">
        <v>45</v>
      </c>
      <c r="B18" s="17"/>
      <c r="C18" s="17"/>
      <c r="D18" s="12"/>
      <c r="E18" s="21"/>
      <c r="F18" s="21"/>
      <c r="G18" s="21"/>
      <c r="H18" s="21"/>
      <c r="I18" s="21"/>
    </row>
    <row r="19" spans="1:12" x14ac:dyDescent="0.35">
      <c r="A19" s="17" t="s">
        <v>46</v>
      </c>
      <c r="B19" s="17">
        <f>B10*13%</f>
        <v>1746.2250000000001</v>
      </c>
      <c r="C19" s="17">
        <v>8451.36</v>
      </c>
      <c r="D19" s="12" t="s">
        <v>47</v>
      </c>
      <c r="G19" s="11">
        <f>15145-13930</f>
        <v>1215</v>
      </c>
    </row>
    <row r="20" spans="1:12" x14ac:dyDescent="0.35">
      <c r="A20" s="17" t="s">
        <v>38</v>
      </c>
      <c r="B20" s="17">
        <f>B8*3.25%</f>
        <v>474.62625000000003</v>
      </c>
      <c r="C20" s="17">
        <v>4231.1100000000006</v>
      </c>
      <c r="D20" s="12" t="s">
        <v>48</v>
      </c>
    </row>
    <row r="21" spans="1:12" x14ac:dyDescent="0.35">
      <c r="A21" s="12" t="s">
        <v>49</v>
      </c>
      <c r="B21" s="12">
        <f>+D3</f>
        <v>27</v>
      </c>
      <c r="C21" s="12"/>
      <c r="D21" s="12"/>
    </row>
    <row r="22" spans="1:12" x14ac:dyDescent="0.35">
      <c r="A22" s="12" t="s">
        <v>19</v>
      </c>
      <c r="B22" s="12">
        <f>+D4</f>
        <v>0</v>
      </c>
      <c r="C22" s="12"/>
      <c r="D22" s="12"/>
    </row>
    <row r="23" spans="1:12" x14ac:dyDescent="0.35">
      <c r="A23" s="12" t="s">
        <v>50</v>
      </c>
      <c r="B23" s="17">
        <v>0</v>
      </c>
      <c r="C23" s="12"/>
      <c r="D23" s="12"/>
    </row>
    <row r="24" spans="1:12" x14ac:dyDescent="0.35">
      <c r="A24" s="12" t="s">
        <v>51</v>
      </c>
      <c r="B24" s="17">
        <f>+B10+B19+B20</f>
        <v>15653.35125</v>
      </c>
      <c r="C24" s="12"/>
      <c r="D24" s="12"/>
      <c r="G24" s="11" t="s">
        <v>12</v>
      </c>
    </row>
  </sheetData>
  <mergeCells count="4">
    <mergeCell ref="A1:D1"/>
    <mergeCell ref="A2:D2"/>
    <mergeCell ref="F7:G7"/>
    <mergeCell ref="F8:G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B15" sqref="B15"/>
    </sheetView>
  </sheetViews>
  <sheetFormatPr defaultColWidth="8.265625" defaultRowHeight="13.5" x14ac:dyDescent="0.35"/>
  <cols>
    <col min="1" max="1" width="29.1328125" style="11" customWidth="1"/>
    <col min="2" max="3" width="20.265625" style="11" bestFit="1" customWidth="1"/>
    <col min="4" max="4" width="16.1328125" style="11" customWidth="1"/>
    <col min="5" max="5" width="9" style="11" customWidth="1"/>
    <col min="6" max="6" width="20.73046875" style="11" customWidth="1"/>
    <col min="7" max="7" width="12.59765625" style="11" customWidth="1"/>
    <col min="8" max="8" width="9.265625" style="11" customWidth="1"/>
    <col min="9" max="10" width="8.265625" style="11"/>
    <col min="11" max="11" width="7.1328125" style="11" customWidth="1"/>
    <col min="12" max="16384" width="8.265625" style="11"/>
  </cols>
  <sheetData>
    <row r="1" spans="1:9" x14ac:dyDescent="0.35">
      <c r="A1" s="29" t="s">
        <v>15</v>
      </c>
      <c r="B1" s="29"/>
      <c r="C1" s="29"/>
      <c r="D1" s="29"/>
    </row>
    <row r="2" spans="1:9" x14ac:dyDescent="0.35">
      <c r="A2" s="30" t="s">
        <v>54</v>
      </c>
      <c r="B2" s="30"/>
      <c r="C2" s="30"/>
      <c r="D2" s="30"/>
    </row>
    <row r="3" spans="1:9" x14ac:dyDescent="0.35">
      <c r="A3" s="12" t="s">
        <v>63</v>
      </c>
      <c r="B3" s="13"/>
      <c r="C3" s="12" t="s">
        <v>17</v>
      </c>
      <c r="D3" s="12">
        <v>27</v>
      </c>
      <c r="E3" s="11" t="s">
        <v>12</v>
      </c>
    </row>
    <row r="4" spans="1:9" x14ac:dyDescent="0.35">
      <c r="A4" s="12" t="s">
        <v>18</v>
      </c>
      <c r="B4" s="14"/>
      <c r="C4" s="12" t="s">
        <v>19</v>
      </c>
      <c r="D4" s="12">
        <v>0</v>
      </c>
    </row>
    <row r="5" spans="1:9" x14ac:dyDescent="0.35">
      <c r="A5" s="15" t="s">
        <v>20</v>
      </c>
      <c r="B5" s="15" t="s">
        <v>21</v>
      </c>
      <c r="C5" s="16" t="s">
        <v>22</v>
      </c>
      <c r="D5" s="12"/>
    </row>
    <row r="6" spans="1:9" x14ac:dyDescent="0.35">
      <c r="A6" s="17" t="s">
        <v>23</v>
      </c>
      <c r="B6" s="18"/>
      <c r="C6" s="19">
        <v>89076</v>
      </c>
      <c r="D6" s="12"/>
      <c r="G6" s="11" t="s">
        <v>12</v>
      </c>
    </row>
    <row r="7" spans="1:9" x14ac:dyDescent="0.35">
      <c r="A7" s="20" t="s">
        <v>24</v>
      </c>
      <c r="B7" s="20">
        <f>(12935)/26*D3</f>
        <v>13432.5</v>
      </c>
      <c r="C7" s="12"/>
      <c r="D7" s="12"/>
      <c r="E7" s="21"/>
      <c r="F7" s="31" t="s">
        <v>25</v>
      </c>
      <c r="G7" s="32"/>
      <c r="H7" s="22"/>
      <c r="I7" s="21"/>
    </row>
    <row r="8" spans="1:9" x14ac:dyDescent="0.35">
      <c r="A8" s="20" t="s">
        <v>26</v>
      </c>
      <c r="B8" s="17">
        <f>(12935+1128)/26*D3</f>
        <v>14603.884615384615</v>
      </c>
      <c r="C8" s="12"/>
      <c r="D8" s="12"/>
      <c r="E8" s="21"/>
      <c r="F8" s="31" t="s">
        <v>27</v>
      </c>
      <c r="G8" s="32"/>
      <c r="H8" s="23"/>
      <c r="I8" s="21"/>
    </row>
    <row r="9" spans="1:9" x14ac:dyDescent="0.35">
      <c r="A9" s="17" t="s">
        <v>28</v>
      </c>
      <c r="B9" s="17">
        <v>12935</v>
      </c>
      <c r="C9" s="17">
        <v>70428</v>
      </c>
      <c r="D9" s="12" t="s">
        <v>29</v>
      </c>
      <c r="E9" s="24"/>
      <c r="F9" s="25">
        <v>12935</v>
      </c>
      <c r="G9" s="26" t="s">
        <v>30</v>
      </c>
      <c r="H9" s="21"/>
      <c r="I9" s="21"/>
    </row>
    <row r="10" spans="1:9" x14ac:dyDescent="0.35">
      <c r="A10" s="20" t="s">
        <v>31</v>
      </c>
      <c r="B10" s="20">
        <f>(B9/26)*D3</f>
        <v>13432.5</v>
      </c>
      <c r="C10" s="17">
        <v>100620</v>
      </c>
      <c r="D10" s="12"/>
      <c r="E10" s="24"/>
      <c r="F10" s="25">
        <f>F9*12%</f>
        <v>1552.2</v>
      </c>
      <c r="G10" s="26" t="s">
        <v>32</v>
      </c>
      <c r="H10" s="21" t="s">
        <v>33</v>
      </c>
      <c r="I10" s="21"/>
    </row>
    <row r="11" spans="1:9" x14ac:dyDescent="0.35">
      <c r="A11" s="20" t="s">
        <v>34</v>
      </c>
      <c r="B11" s="17"/>
      <c r="C11" s="17"/>
      <c r="D11" s="12"/>
      <c r="E11" s="21"/>
      <c r="F11" s="25">
        <f>(12935+1128)*0.75%</f>
        <v>105.4725</v>
      </c>
      <c r="G11" s="26" t="s">
        <v>35</v>
      </c>
      <c r="H11" s="21" t="s">
        <v>33</v>
      </c>
      <c r="I11" s="21"/>
    </row>
    <row r="12" spans="1:9" x14ac:dyDescent="0.35">
      <c r="A12" s="17" t="s">
        <v>32</v>
      </c>
      <c r="B12" s="17">
        <f>B7*12%</f>
        <v>1611.8999999999999</v>
      </c>
      <c r="C12" s="17">
        <v>8451.36</v>
      </c>
      <c r="D12" s="12" t="s">
        <v>36</v>
      </c>
      <c r="E12" s="21"/>
      <c r="F12" s="26">
        <v>200</v>
      </c>
      <c r="G12" s="26" t="s">
        <v>37</v>
      </c>
      <c r="H12" s="21" t="s">
        <v>33</v>
      </c>
      <c r="I12" s="21"/>
    </row>
    <row r="13" spans="1:9" x14ac:dyDescent="0.35">
      <c r="A13" s="17" t="s">
        <v>38</v>
      </c>
      <c r="B13" s="17">
        <f>B8*0.75%</f>
        <v>109.52913461538461</v>
      </c>
      <c r="C13" s="17">
        <v>1558.83</v>
      </c>
      <c r="D13" s="12" t="s">
        <v>39</v>
      </c>
      <c r="E13" s="21"/>
      <c r="F13" s="25">
        <f>F9-(SUM(F10:F12))</f>
        <v>11077.327499999999</v>
      </c>
      <c r="G13" s="26" t="s">
        <v>40</v>
      </c>
      <c r="H13" s="21"/>
      <c r="I13" s="21"/>
    </row>
    <row r="14" spans="1:9" x14ac:dyDescent="0.35">
      <c r="A14" s="17" t="s">
        <v>41</v>
      </c>
      <c r="B14" s="17">
        <v>200</v>
      </c>
      <c r="C14" s="17">
        <v>960</v>
      </c>
      <c r="D14" s="12"/>
      <c r="E14" s="21"/>
      <c r="F14" s="21"/>
      <c r="G14" s="21"/>
      <c r="H14" s="21"/>
      <c r="I14" s="21"/>
    </row>
    <row r="15" spans="1:9" x14ac:dyDescent="0.35">
      <c r="A15" s="17" t="s">
        <v>42</v>
      </c>
      <c r="B15" s="20">
        <v>0</v>
      </c>
      <c r="C15" s="20">
        <v>10970.19</v>
      </c>
      <c r="D15" s="12"/>
      <c r="E15" s="21"/>
      <c r="F15" s="21"/>
      <c r="G15" s="21"/>
      <c r="H15" s="21"/>
      <c r="I15" s="21"/>
    </row>
    <row r="16" spans="1:9" x14ac:dyDescent="0.35">
      <c r="A16" s="20" t="s">
        <v>43</v>
      </c>
      <c r="B16" s="20">
        <f>B12+B13+B14+B15</f>
        <v>1921.4291346153846</v>
      </c>
      <c r="C16" s="20">
        <v>89649.81</v>
      </c>
      <c r="D16" s="12"/>
      <c r="E16" s="21"/>
      <c r="F16" s="21"/>
      <c r="G16" s="21"/>
      <c r="H16" s="21"/>
      <c r="I16" s="21"/>
    </row>
    <row r="17" spans="1:12" x14ac:dyDescent="0.35">
      <c r="A17" s="27" t="s">
        <v>44</v>
      </c>
      <c r="B17" s="27">
        <f>B10-B16</f>
        <v>11511.070865384616</v>
      </c>
      <c r="C17" s="17"/>
      <c r="D17" s="12"/>
      <c r="E17" s="21"/>
      <c r="F17" s="21"/>
      <c r="G17" s="21"/>
      <c r="H17" s="21"/>
      <c r="I17" s="21"/>
      <c r="L17" s="11" t="s">
        <v>12</v>
      </c>
    </row>
    <row r="18" spans="1:12" x14ac:dyDescent="0.35">
      <c r="A18" s="17" t="s">
        <v>45</v>
      </c>
      <c r="B18" s="17"/>
      <c r="C18" s="17"/>
      <c r="D18" s="12"/>
      <c r="E18" s="21"/>
      <c r="F18" s="21"/>
      <c r="G18" s="21"/>
      <c r="H18" s="21"/>
      <c r="I18" s="21"/>
    </row>
    <row r="19" spans="1:12" x14ac:dyDescent="0.35">
      <c r="A19" s="17" t="s">
        <v>46</v>
      </c>
      <c r="B19" s="17">
        <f>B10*13%</f>
        <v>1746.2250000000001</v>
      </c>
      <c r="C19" s="17">
        <v>8451.36</v>
      </c>
      <c r="D19" s="12" t="s">
        <v>47</v>
      </c>
      <c r="G19" s="11">
        <f>15145-13930</f>
        <v>1215</v>
      </c>
    </row>
    <row r="20" spans="1:12" x14ac:dyDescent="0.35">
      <c r="A20" s="17" t="s">
        <v>38</v>
      </c>
      <c r="B20" s="17">
        <f>B8*3.25%</f>
        <v>474.62625000000003</v>
      </c>
      <c r="C20" s="17">
        <v>4231.1100000000006</v>
      </c>
      <c r="D20" s="12" t="s">
        <v>48</v>
      </c>
    </row>
    <row r="21" spans="1:12" x14ac:dyDescent="0.35">
      <c r="A21" s="12" t="s">
        <v>49</v>
      </c>
      <c r="B21" s="12">
        <f>+D3</f>
        <v>27</v>
      </c>
      <c r="C21" s="12"/>
      <c r="D21" s="12"/>
    </row>
    <row r="22" spans="1:12" x14ac:dyDescent="0.35">
      <c r="A22" s="12" t="s">
        <v>19</v>
      </c>
      <c r="B22" s="12">
        <f>+D4</f>
        <v>0</v>
      </c>
      <c r="C22" s="12"/>
      <c r="D22" s="12"/>
    </row>
    <row r="23" spans="1:12" x14ac:dyDescent="0.35">
      <c r="A23" s="12" t="s">
        <v>50</v>
      </c>
      <c r="B23" s="17">
        <v>0</v>
      </c>
      <c r="C23" s="12"/>
      <c r="D23" s="12"/>
    </row>
    <row r="24" spans="1:12" x14ac:dyDescent="0.35">
      <c r="A24" s="12" t="s">
        <v>51</v>
      </c>
      <c r="B24" s="17">
        <f>+B10+B19+B20</f>
        <v>15653.35125</v>
      </c>
      <c r="C24" s="12"/>
      <c r="D24" s="12"/>
      <c r="G24" s="11" t="s">
        <v>12</v>
      </c>
    </row>
  </sheetData>
  <mergeCells count="4">
    <mergeCell ref="A1:D1"/>
    <mergeCell ref="A2:D2"/>
    <mergeCell ref="F7:G7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ANTIMA</vt:lpstr>
      <vt:lpstr>KARAN CHAUHAN</vt:lpstr>
      <vt:lpstr>UJJAWALA KOLI</vt:lpstr>
      <vt:lpstr>PREMLA BEN PAVADI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2025-12-06T05:12:13Z</dcterms:modified>
</cp:coreProperties>
</file>