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lean Sheen\HR Folder\Salary\BIG BASKET\BIG BASKET ATTENDANCE-SALARY\BB 2025-26\BB NOV 2025\"/>
    </mc:Choice>
  </mc:AlternateContent>
  <bookViews>
    <workbookView xWindow="0" yWindow="0" windowWidth="19200" windowHeight="6585"/>
  </bookViews>
  <sheets>
    <sheet name="BB" sheetId="1" r:id="rId1"/>
    <sheet name="Pay shee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42" i="2" l="1"/>
  <c r="BW42" i="2"/>
  <c r="BX42" i="2"/>
  <c r="BU42" i="2"/>
  <c r="BF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AL23" i="1"/>
  <c r="AL22" i="1"/>
  <c r="AL16" i="1"/>
  <c r="AL12" i="1"/>
  <c r="AL10" i="1"/>
  <c r="AL8" i="1"/>
  <c r="AL6" i="1"/>
  <c r="AJ19" i="2" l="1"/>
  <c r="AJ20" i="2"/>
  <c r="AJ21" i="2" s="1"/>
  <c r="AJ27" i="2"/>
  <c r="AJ28" i="2"/>
  <c r="AQ28" i="2" s="1"/>
  <c r="BP28" i="2" s="1"/>
  <c r="AJ36" i="2"/>
  <c r="AJ37" i="2"/>
  <c r="AJ38" i="2"/>
  <c r="AQ38" i="2" s="1"/>
  <c r="BP38" i="2" s="1"/>
  <c r="BJ41" i="2"/>
  <c r="BI41" i="2"/>
  <c r="BH41" i="2"/>
  <c r="BD41" i="2"/>
  <c r="BC41" i="2"/>
  <c r="BB41" i="2"/>
  <c r="BA41" i="2"/>
  <c r="AZ41" i="2"/>
  <c r="AY41" i="2"/>
  <c r="AX41" i="2"/>
  <c r="AW41" i="2"/>
  <c r="AU41" i="2"/>
  <c r="AO41" i="2"/>
  <c r="AN41" i="2"/>
  <c r="AM41" i="2"/>
  <c r="AL41" i="2"/>
  <c r="AK41" i="2"/>
  <c r="AI41" i="2"/>
  <c r="AH41" i="2"/>
  <c r="AG41" i="2"/>
  <c r="AF41" i="2"/>
  <c r="CC40" i="2"/>
  <c r="CC39" i="2"/>
  <c r="BW38" i="2"/>
  <c r="BQ38" i="2"/>
  <c r="AV38" i="2"/>
  <c r="AT38" i="2"/>
  <c r="AS38" i="2"/>
  <c r="AR38" i="2"/>
  <c r="AP38" i="2"/>
  <c r="BK38" i="2" s="1"/>
  <c r="BW37" i="2"/>
  <c r="BQ37" i="2"/>
  <c r="AV37" i="2"/>
  <c r="AT37" i="2"/>
  <c r="AS37" i="2"/>
  <c r="AR37" i="2"/>
  <c r="AQ37" i="2"/>
  <c r="AP37" i="2"/>
  <c r="BK37" i="2" s="1"/>
  <c r="BW36" i="2"/>
  <c r="BQ36" i="2"/>
  <c r="AV36" i="2"/>
  <c r="AT36" i="2"/>
  <c r="AS36" i="2"/>
  <c r="AR36" i="2"/>
  <c r="AQ36" i="2"/>
  <c r="AP36" i="2"/>
  <c r="BK36" i="2" s="1"/>
  <c r="BW35" i="2"/>
  <c r="BQ35" i="2"/>
  <c r="AV35" i="2"/>
  <c r="AT35" i="2"/>
  <c r="AS35" i="2"/>
  <c r="AR35" i="2"/>
  <c r="AJ35" i="2"/>
  <c r="AQ35" i="2" s="1"/>
  <c r="BW34" i="2"/>
  <c r="BQ34" i="2"/>
  <c r="AV34" i="2"/>
  <c r="AV41" i="2" s="1"/>
  <c r="AT34" i="2"/>
  <c r="AS34" i="2"/>
  <c r="AR34" i="2"/>
  <c r="AQ34" i="2"/>
  <c r="AP34" i="2"/>
  <c r="BK34" i="2" s="1"/>
  <c r="AJ34" i="2"/>
  <c r="AJ41" i="2" s="1"/>
  <c r="A34" i="2"/>
  <c r="A35" i="2" s="1"/>
  <c r="AJ18" i="2"/>
  <c r="AJ26" i="2"/>
  <c r="AP26" i="2" s="1"/>
  <c r="CA32" i="2"/>
  <c r="BZ32" i="2"/>
  <c r="BY32" i="2"/>
  <c r="BS32" i="2"/>
  <c r="BR32" i="2"/>
  <c r="BJ32" i="2"/>
  <c r="BI32" i="2"/>
  <c r="BH32" i="2"/>
  <c r="BD32" i="2"/>
  <c r="BC32" i="2"/>
  <c r="BB32" i="2"/>
  <c r="BA32" i="2"/>
  <c r="AZ32" i="2"/>
  <c r="AY32" i="2"/>
  <c r="AX32" i="2"/>
  <c r="AW32" i="2"/>
  <c r="AU32" i="2"/>
  <c r="AO32" i="2"/>
  <c r="AN32" i="2"/>
  <c r="AM32" i="2"/>
  <c r="AL32" i="2"/>
  <c r="AK32" i="2"/>
  <c r="AF32" i="2"/>
  <c r="CC31" i="2"/>
  <c r="CC30" i="2"/>
  <c r="BW29" i="2"/>
  <c r="BQ29" i="2"/>
  <c r="AV29" i="2"/>
  <c r="AT29" i="2"/>
  <c r="AS29" i="2"/>
  <c r="AR29" i="2"/>
  <c r="AQ29" i="2"/>
  <c r="BN29" i="2" s="1"/>
  <c r="AP29" i="2"/>
  <c r="BK29" i="2" s="1"/>
  <c r="BW28" i="2"/>
  <c r="BQ28" i="2"/>
  <c r="AV28" i="2"/>
  <c r="AT28" i="2"/>
  <c r="AS28" i="2"/>
  <c r="AR28" i="2"/>
  <c r="AP28" i="2"/>
  <c r="BK28" i="2" s="1"/>
  <c r="BW27" i="2"/>
  <c r="BQ27" i="2"/>
  <c r="AV27" i="2"/>
  <c r="AT27" i="2"/>
  <c r="AS27" i="2"/>
  <c r="AR27" i="2"/>
  <c r="AP27" i="2"/>
  <c r="BK27" i="2" s="1"/>
  <c r="AQ27" i="2"/>
  <c r="BP27" i="2" s="1"/>
  <c r="BW26" i="2"/>
  <c r="BQ26" i="2"/>
  <c r="AV26" i="2"/>
  <c r="AT26" i="2"/>
  <c r="AS26" i="2"/>
  <c r="AR26" i="2"/>
  <c r="AQ26" i="2"/>
  <c r="BW25" i="2"/>
  <c r="BQ25" i="2"/>
  <c r="BQ32" i="2" s="1"/>
  <c r="AV25" i="2"/>
  <c r="AT25" i="2"/>
  <c r="AS25" i="2"/>
  <c r="AR25" i="2"/>
  <c r="AR32" i="2" s="1"/>
  <c r="AQ25" i="2"/>
  <c r="BP25" i="2" s="1"/>
  <c r="AP25" i="2"/>
  <c r="BK25" i="2" s="1"/>
  <c r="AJ25" i="2"/>
  <c r="A25" i="2"/>
  <c r="A26" i="2" s="1"/>
  <c r="CA21" i="2"/>
  <c r="BZ21" i="2"/>
  <c r="BY21" i="2"/>
  <c r="BS21" i="2"/>
  <c r="BR21" i="2"/>
  <c r="BJ21" i="2"/>
  <c r="BI21" i="2"/>
  <c r="BD21" i="2"/>
  <c r="BC21" i="2"/>
  <c r="BB21" i="2"/>
  <c r="BA21" i="2"/>
  <c r="AZ21" i="2"/>
  <c r="AY21" i="2"/>
  <c r="AX21" i="2"/>
  <c r="AW21" i="2"/>
  <c r="AU21" i="2"/>
  <c r="AO21" i="2"/>
  <c r="AN21" i="2"/>
  <c r="AM21" i="2"/>
  <c r="AL21" i="2"/>
  <c r="AK21" i="2"/>
  <c r="AG21" i="2"/>
  <c r="AG32" i="2" s="1"/>
  <c r="AF21" i="2"/>
  <c r="BW20" i="2"/>
  <c r="BQ20" i="2"/>
  <c r="AV20" i="2"/>
  <c r="AT20" i="2"/>
  <c r="AS20" i="2"/>
  <c r="AR20" i="2"/>
  <c r="AQ20" i="2"/>
  <c r="BW19" i="2"/>
  <c r="BQ19" i="2"/>
  <c r="AV19" i="2"/>
  <c r="AT19" i="2"/>
  <c r="AS19" i="2"/>
  <c r="AR19" i="2"/>
  <c r="AQ19" i="2"/>
  <c r="AP19" i="2"/>
  <c r="BK19" i="2" s="1"/>
  <c r="BW18" i="2"/>
  <c r="BQ18" i="2"/>
  <c r="AV18" i="2"/>
  <c r="AT18" i="2"/>
  <c r="AS18" i="2"/>
  <c r="AR18" i="2"/>
  <c r="AQ18" i="2"/>
  <c r="AP18" i="2"/>
  <c r="BK18" i="2" s="1"/>
  <c r="BW17" i="2"/>
  <c r="BW21" i="2" s="1"/>
  <c r="BQ17" i="2"/>
  <c r="AV17" i="2"/>
  <c r="AV21" i="2" s="1"/>
  <c r="AT17" i="2"/>
  <c r="AS17" i="2"/>
  <c r="AR17" i="2"/>
  <c r="AQ17" i="2"/>
  <c r="AP17" i="2"/>
  <c r="AJ17" i="2"/>
  <c r="CA14" i="2"/>
  <c r="BZ14" i="2"/>
  <c r="BY14" i="2"/>
  <c r="BS14" i="2"/>
  <c r="BR14" i="2"/>
  <c r="BJ14" i="2"/>
  <c r="BI14" i="2"/>
  <c r="BH14" i="2"/>
  <c r="BD14" i="2"/>
  <c r="BC14" i="2"/>
  <c r="BB14" i="2"/>
  <c r="BA14" i="2"/>
  <c r="AZ14" i="2"/>
  <c r="AY14" i="2"/>
  <c r="AX14" i="2"/>
  <c r="AW14" i="2"/>
  <c r="AU14" i="2"/>
  <c r="AO14" i="2"/>
  <c r="AN14" i="2"/>
  <c r="AM14" i="2"/>
  <c r="AL14" i="2"/>
  <c r="AK14" i="2"/>
  <c r="AI14" i="2"/>
  <c r="AH14" i="2"/>
  <c r="AG14" i="2"/>
  <c r="AF14" i="2"/>
  <c r="BW13" i="2"/>
  <c r="BQ13" i="2"/>
  <c r="AV13" i="2"/>
  <c r="AT13" i="2"/>
  <c r="AS13" i="2"/>
  <c r="AR13" i="2"/>
  <c r="BW12" i="2"/>
  <c r="BQ12" i="2"/>
  <c r="AV12" i="2"/>
  <c r="AT12" i="2"/>
  <c r="AS12" i="2"/>
  <c r="AR12" i="2"/>
  <c r="AP12" i="2"/>
  <c r="BK12" i="2" s="1"/>
  <c r="BW11" i="2"/>
  <c r="BQ11" i="2"/>
  <c r="AV11" i="2"/>
  <c r="AV14" i="2" s="1"/>
  <c r="AT11" i="2"/>
  <c r="AS11" i="2"/>
  <c r="AR11" i="2"/>
  <c r="AJ11" i="2"/>
  <c r="AP11" i="2" s="1"/>
  <c r="BK11" i="2" s="1"/>
  <c r="A11" i="2"/>
  <c r="CA7" i="2"/>
  <c r="BZ7" i="2"/>
  <c r="BY7" i="2"/>
  <c r="BS7" i="2"/>
  <c r="BR7" i="2"/>
  <c r="BJ7" i="2"/>
  <c r="BI7" i="2"/>
  <c r="BD7" i="2"/>
  <c r="BC7" i="2"/>
  <c r="BB7" i="2"/>
  <c r="BA7" i="2"/>
  <c r="AZ7" i="2"/>
  <c r="AY7" i="2"/>
  <c r="AX7" i="2"/>
  <c r="AW7" i="2"/>
  <c r="AV7" i="2"/>
  <c r="AU7" i="2"/>
  <c r="AO7" i="2"/>
  <c r="AN7" i="2"/>
  <c r="AM7" i="2"/>
  <c r="AL7" i="2"/>
  <c r="AK7" i="2"/>
  <c r="AI7" i="2"/>
  <c r="AI21" i="2" s="1"/>
  <c r="AH7" i="2"/>
  <c r="AH21" i="2" s="1"/>
  <c r="AG7" i="2"/>
  <c r="AF7" i="2"/>
  <c r="BW6" i="2"/>
  <c r="BQ6" i="2"/>
  <c r="AV6" i="2"/>
  <c r="AT6" i="2"/>
  <c r="AS6" i="2"/>
  <c r="AR6" i="2"/>
  <c r="BW5" i="2"/>
  <c r="BW7" i="2" s="1"/>
  <c r="BQ5" i="2"/>
  <c r="BQ7" i="2" s="1"/>
  <c r="AV5" i="2"/>
  <c r="AT5" i="2"/>
  <c r="AT7" i="2" s="1"/>
  <c r="AS5" i="2"/>
  <c r="AR5" i="2"/>
  <c r="AR7" i="2" s="1"/>
  <c r="AJ5" i="2"/>
  <c r="AQ5" i="2" s="1"/>
  <c r="A5" i="2"/>
  <c r="BF34" i="2" l="1"/>
  <c r="AR41" i="2"/>
  <c r="BE38" i="2"/>
  <c r="BG38" i="2" s="1"/>
  <c r="AS41" i="2"/>
  <c r="BF36" i="2"/>
  <c r="BN38" i="2"/>
  <c r="BO38" i="2"/>
  <c r="BT38" i="2" s="1"/>
  <c r="BK41" i="2"/>
  <c r="BP35" i="2"/>
  <c r="BE35" i="2"/>
  <c r="BN35" i="2"/>
  <c r="BF35" i="2"/>
  <c r="BP37" i="2"/>
  <c r="BF38" i="2"/>
  <c r="AP41" i="2"/>
  <c r="AT41" i="2"/>
  <c r="AQ41" i="2"/>
  <c r="BN34" i="2"/>
  <c r="BN36" i="2"/>
  <c r="AP35" i="2"/>
  <c r="BK35" i="2" s="1"/>
  <c r="BE37" i="2"/>
  <c r="BE34" i="2"/>
  <c r="BP34" i="2"/>
  <c r="BE36" i="2"/>
  <c r="BP36" i="2"/>
  <c r="BF37" i="2"/>
  <c r="BN37" i="2"/>
  <c r="AJ32" i="2"/>
  <c r="AP32" i="2"/>
  <c r="BE27" i="2"/>
  <c r="BG27" i="2" s="1"/>
  <c r="BQ21" i="2"/>
  <c r="AT14" i="2"/>
  <c r="AR14" i="2"/>
  <c r="AS7" i="2"/>
  <c r="AT21" i="2"/>
  <c r="AS21" i="2"/>
  <c r="AR21" i="2"/>
  <c r="BF27" i="2"/>
  <c r="BN25" i="2"/>
  <c r="AS32" i="2"/>
  <c r="AP13" i="2"/>
  <c r="BK13" i="2" s="1"/>
  <c r="BK14" i="2" s="1"/>
  <c r="AQ13" i="2"/>
  <c r="BE25" i="2"/>
  <c r="BE5" i="2"/>
  <c r="BN5" i="2"/>
  <c r="BP20" i="2"/>
  <c r="BE20" i="2"/>
  <c r="AQ6" i="2"/>
  <c r="AQ7" i="2" s="1"/>
  <c r="AP6" i="2"/>
  <c r="BK17" i="2"/>
  <c r="BN26" i="2"/>
  <c r="AP5" i="2"/>
  <c r="AJ7" i="2"/>
  <c r="BF20" i="2"/>
  <c r="AT32" i="2"/>
  <c r="BK26" i="2"/>
  <c r="BK32" i="2" s="1"/>
  <c r="BF5" i="2"/>
  <c r="BP5" i="2"/>
  <c r="BW14" i="2"/>
  <c r="AH32" i="2"/>
  <c r="BH17" i="2"/>
  <c r="BH21" i="2" s="1"/>
  <c r="BP19" i="2"/>
  <c r="BE19" i="2"/>
  <c r="BN19" i="2"/>
  <c r="BF19" i="2"/>
  <c r="BN20" i="2"/>
  <c r="AS14" i="2"/>
  <c r="AQ21" i="2"/>
  <c r="BP17" i="2"/>
  <c r="BF17" i="2"/>
  <c r="BP18" i="2"/>
  <c r="BE18" i="2"/>
  <c r="AQ12" i="2"/>
  <c r="AI32" i="2"/>
  <c r="BE17" i="2"/>
  <c r="BF18" i="2"/>
  <c r="BN18" i="2"/>
  <c r="AP20" i="2"/>
  <c r="BK20" i="2" s="1"/>
  <c r="BF26" i="2"/>
  <c r="BE28" i="2"/>
  <c r="BP26" i="2"/>
  <c r="BE26" i="2"/>
  <c r="BN28" i="2"/>
  <c r="BF28" i="2"/>
  <c r="AQ11" i="2"/>
  <c r="BQ14" i="2"/>
  <c r="AJ14" i="2"/>
  <c r="BN17" i="2"/>
  <c r="BF25" i="2"/>
  <c r="AQ32" i="2"/>
  <c r="AV32" i="2"/>
  <c r="BW32" i="2"/>
  <c r="BN27" i="2"/>
  <c r="BF29" i="2"/>
  <c r="BP29" i="2"/>
  <c r="BE29" i="2"/>
  <c r="BL27" i="2" l="1"/>
  <c r="BM27" i="2" s="1"/>
  <c r="BO27" i="2"/>
  <c r="BT27" i="2" s="1"/>
  <c r="BU27" i="2" s="1"/>
  <c r="BL38" i="2"/>
  <c r="BM38" i="2" s="1"/>
  <c r="BO34" i="2"/>
  <c r="BG34" i="2"/>
  <c r="BE41" i="2"/>
  <c r="BO35" i="2"/>
  <c r="BT35" i="2" s="1"/>
  <c r="BG35" i="2"/>
  <c r="BL35" i="2" s="1"/>
  <c r="BM35" i="2" s="1"/>
  <c r="BU38" i="2"/>
  <c r="BG37" i="2"/>
  <c r="BL37" i="2" s="1"/>
  <c r="BM37" i="2" s="1"/>
  <c r="BO37" i="2"/>
  <c r="BT37" i="2" s="1"/>
  <c r="BO36" i="2"/>
  <c r="BT36" i="2" s="1"/>
  <c r="BG36" i="2"/>
  <c r="BL36" i="2" s="1"/>
  <c r="BM36" i="2" s="1"/>
  <c r="BP32" i="2"/>
  <c r="BK21" i="2"/>
  <c r="AP14" i="2"/>
  <c r="BK6" i="2"/>
  <c r="BO29" i="2"/>
  <c r="BT29" i="2" s="1"/>
  <c r="BG29" i="2"/>
  <c r="BL29" i="2" s="1"/>
  <c r="BM29" i="2" s="1"/>
  <c r="BF32" i="2"/>
  <c r="BO26" i="2"/>
  <c r="BT26" i="2" s="1"/>
  <c r="BG26" i="2"/>
  <c r="BL26" i="2" s="1"/>
  <c r="BM26" i="2" s="1"/>
  <c r="BP6" i="2"/>
  <c r="BP7" i="2" s="1"/>
  <c r="BF6" i="2"/>
  <c r="BF7" i="2" s="1"/>
  <c r="BE6" i="2"/>
  <c r="BN6" i="2"/>
  <c r="BN7" i="2" s="1"/>
  <c r="BE32" i="2"/>
  <c r="BO25" i="2"/>
  <c r="BG25" i="2"/>
  <c r="BN21" i="2"/>
  <c r="BE21" i="2"/>
  <c r="BG17" i="2"/>
  <c r="BL17" i="2" s="1"/>
  <c r="BO17" i="2"/>
  <c r="BP21" i="2"/>
  <c r="BO19" i="2"/>
  <c r="BG19" i="2"/>
  <c r="BL19" i="2" s="1"/>
  <c r="BM19" i="2" s="1"/>
  <c r="AP7" i="2"/>
  <c r="BK5" i="2"/>
  <c r="BK7" i="2" s="1"/>
  <c r="BH5" i="2"/>
  <c r="AP21" i="2"/>
  <c r="BN13" i="2"/>
  <c r="BF13" i="2"/>
  <c r="BE13" i="2"/>
  <c r="BP13" i="2"/>
  <c r="BN12" i="2"/>
  <c r="BE12" i="2"/>
  <c r="BP12" i="2"/>
  <c r="BF12" i="2"/>
  <c r="BN32" i="2"/>
  <c r="BN11" i="2"/>
  <c r="BF11" i="2"/>
  <c r="AQ14" i="2"/>
  <c r="BP11" i="2"/>
  <c r="BE11" i="2"/>
  <c r="BF21" i="2"/>
  <c r="BG28" i="2"/>
  <c r="BL28" i="2" s="1"/>
  <c r="BM28" i="2" s="1"/>
  <c r="BO28" i="2"/>
  <c r="BT28" i="2" s="1"/>
  <c r="BO18" i="2"/>
  <c r="BT18" i="2" s="1"/>
  <c r="BG18" i="2"/>
  <c r="BL18" i="2" s="1"/>
  <c r="BM18" i="2" s="1"/>
  <c r="BG20" i="2"/>
  <c r="BL20" i="2" s="1"/>
  <c r="BM20" i="2" s="1"/>
  <c r="BO20" i="2"/>
  <c r="BT20" i="2" s="1"/>
  <c r="BU20" i="2" s="1"/>
  <c r="BO5" i="2"/>
  <c r="BT5" i="2" s="1"/>
  <c r="BU5" i="2" s="1"/>
  <c r="BG5" i="2"/>
  <c r="BL5" i="2" s="1"/>
  <c r="BG41" i="2" l="1"/>
  <c r="BL34" i="2"/>
  <c r="BU36" i="2"/>
  <c r="BX38" i="2"/>
  <c r="CB38" i="2" s="1"/>
  <c r="CC38" i="2"/>
  <c r="BV38" i="2"/>
  <c r="BU35" i="2"/>
  <c r="BT34" i="2"/>
  <c r="BU37" i="2"/>
  <c r="BU34" i="2"/>
  <c r="BN14" i="2"/>
  <c r="BU29" i="2"/>
  <c r="BU28" i="2"/>
  <c r="CC28" i="2" s="1"/>
  <c r="CC20" i="2"/>
  <c r="BV20" i="2"/>
  <c r="BX20" i="2" s="1"/>
  <c r="CB20" i="2" s="1"/>
  <c r="BM5" i="2"/>
  <c r="CC5" i="2"/>
  <c r="BV5" i="2"/>
  <c r="BL21" i="2"/>
  <c r="BE14" i="2"/>
  <c r="BG11" i="2"/>
  <c r="BL11" i="2" s="1"/>
  <c r="BO11" i="2"/>
  <c r="BG13" i="2"/>
  <c r="BL13" i="2" s="1"/>
  <c r="BM13" i="2" s="1"/>
  <c r="BO13" i="2"/>
  <c r="BT13" i="2" s="1"/>
  <c r="BG21" i="2"/>
  <c r="BO6" i="2"/>
  <c r="BT6" i="2" s="1"/>
  <c r="BG6" i="2"/>
  <c r="BT19" i="2"/>
  <c r="BU19" i="2" s="1"/>
  <c r="BV29" i="2"/>
  <c r="BE7" i="2"/>
  <c r="BU18" i="2"/>
  <c r="BP14" i="2"/>
  <c r="BG32" i="2"/>
  <c r="BU26" i="2"/>
  <c r="BG7" i="2"/>
  <c r="BF14" i="2"/>
  <c r="BG12" i="2"/>
  <c r="BM12" i="2" s="1"/>
  <c r="BO12" i="2"/>
  <c r="BT12" i="2" s="1"/>
  <c r="BM17" i="2"/>
  <c r="BM21" i="2" s="1"/>
  <c r="CC27" i="2"/>
  <c r="BV27" i="2"/>
  <c r="BX27" i="2" s="1"/>
  <c r="CB27" i="2" s="1"/>
  <c r="BO7" i="2"/>
  <c r="BH7" i="2"/>
  <c r="BO21" i="2"/>
  <c r="BT17" i="2"/>
  <c r="BO32" i="2"/>
  <c r="BT25" i="2"/>
  <c r="BL6" i="2"/>
  <c r="BM6" i="2" s="1"/>
  <c r="BL25" i="2"/>
  <c r="CC34" i="2" l="1"/>
  <c r="BV34" i="2"/>
  <c r="BX34" i="2"/>
  <c r="CC35" i="2"/>
  <c r="BV35" i="2"/>
  <c r="BX35" i="2"/>
  <c r="CB35" i="2" s="1"/>
  <c r="CC36" i="2"/>
  <c r="BV36" i="2"/>
  <c r="BX36" i="2"/>
  <c r="CB36" i="2" s="1"/>
  <c r="BX37" i="2"/>
  <c r="CB37" i="2" s="1"/>
  <c r="CC37" i="2"/>
  <c r="BV37" i="2"/>
  <c r="BL41" i="2"/>
  <c r="BM34" i="2"/>
  <c r="BV28" i="2"/>
  <c r="BX28" i="2" s="1"/>
  <c r="CB28" i="2" s="1"/>
  <c r="BX29" i="2"/>
  <c r="CB29" i="2" s="1"/>
  <c r="CC29" i="2"/>
  <c r="BU13" i="2"/>
  <c r="BV13" i="2" s="1"/>
  <c r="BX13" i="2" s="1"/>
  <c r="CB13" i="2" s="1"/>
  <c r="BU12" i="2"/>
  <c r="BV12" i="2" s="1"/>
  <c r="BX12" i="2" s="1"/>
  <c r="CB12" i="2" s="1"/>
  <c r="BO14" i="2"/>
  <c r="BL7" i="2"/>
  <c r="CC19" i="2"/>
  <c r="BV19" i="2"/>
  <c r="BX19" i="2" s="1"/>
  <c r="CB19" i="2" s="1"/>
  <c r="BT7" i="2"/>
  <c r="BU6" i="2"/>
  <c r="BT32" i="2"/>
  <c r="BU25" i="2"/>
  <c r="CC18" i="2"/>
  <c r="BV18" i="2"/>
  <c r="BX18" i="2" s="1"/>
  <c r="CB18" i="2" s="1"/>
  <c r="CC12" i="2"/>
  <c r="BL32" i="2"/>
  <c r="BM25" i="2"/>
  <c r="BM32" i="2" s="1"/>
  <c r="CC26" i="2"/>
  <c r="BV26" i="2"/>
  <c r="BX26" i="2" s="1"/>
  <c r="CB26" i="2" s="1"/>
  <c r="BG14" i="2"/>
  <c r="BT21" i="2"/>
  <c r="BU17" i="2"/>
  <c r="BL14" i="2"/>
  <c r="BT11" i="2"/>
  <c r="BM11" i="2"/>
  <c r="BM14" i="2" s="1"/>
  <c r="BX5" i="2"/>
  <c r="BM7" i="2"/>
  <c r="CB34" i="2" l="1"/>
  <c r="CC13" i="2"/>
  <c r="BT14" i="2"/>
  <c r="BU11" i="2"/>
  <c r="BU32" i="2"/>
  <c r="CC25" i="2"/>
  <c r="BV25" i="2"/>
  <c r="BV32" i="2" s="1"/>
  <c r="BX25" i="2"/>
  <c r="CB5" i="2"/>
  <c r="BX7" i="2"/>
  <c r="CC17" i="2"/>
  <c r="BV17" i="2"/>
  <c r="BV21" i="2" s="1"/>
  <c r="BX17" i="2"/>
  <c r="BU21" i="2"/>
  <c r="CC6" i="2"/>
  <c r="BV6" i="2"/>
  <c r="BV7" i="2" s="1"/>
  <c r="BX6" i="2"/>
  <c r="CB6" i="2" s="1"/>
  <c r="BU7" i="2"/>
  <c r="BX21" i="2" l="1"/>
  <c r="CB17" i="2"/>
  <c r="CB21" i="2" s="1"/>
  <c r="CB7" i="2"/>
  <c r="BX32" i="2"/>
  <c r="CB25" i="2"/>
  <c r="CB32" i="2" s="1"/>
  <c r="BU14" i="2"/>
  <c r="BV11" i="2"/>
  <c r="BV14" i="2" s="1"/>
  <c r="CC11" i="2"/>
  <c r="BX11" i="2" l="1"/>
  <c r="CB11" i="2" l="1"/>
  <c r="CB14" i="2" s="1"/>
  <c r="BX14" i="2"/>
</calcChain>
</file>

<file path=xl/sharedStrings.xml><?xml version="1.0" encoding="utf-8"?>
<sst xmlns="http://schemas.openxmlformats.org/spreadsheetml/2006/main" count="723" uniqueCount="122">
  <si>
    <t>ENTITY</t>
  </si>
  <si>
    <t xml:space="preserve">VENDOR NAME </t>
  </si>
  <si>
    <t>LOCATION</t>
  </si>
  <si>
    <t>DESIGNATION</t>
  </si>
  <si>
    <t>E CODE</t>
  </si>
  <si>
    <t xml:space="preserve">E NAME </t>
  </si>
  <si>
    <t>TOTAL PAY DAYS</t>
  </si>
  <si>
    <t>TOTAL OT HRS</t>
  </si>
  <si>
    <t>Clean Sheen Cleaning Services Pvt Ltd</t>
  </si>
  <si>
    <t>T2 Surat IBBN - Hidyatnagar</t>
  </si>
  <si>
    <t>IRCPL</t>
  </si>
  <si>
    <t>Housekeeping</t>
  </si>
  <si>
    <t>P</t>
  </si>
  <si>
    <t>Sarita Sahani</t>
  </si>
  <si>
    <t>Anita</t>
  </si>
  <si>
    <t>Surat-BB Now-DRB College</t>
  </si>
  <si>
    <t>A</t>
  </si>
  <si>
    <t>Surat-BB Now-Ring road</t>
  </si>
  <si>
    <t>T2 Surat IBBN - Puna patiya</t>
  </si>
  <si>
    <t>Ujwala koli</t>
  </si>
  <si>
    <t>Karan Chauhan</t>
  </si>
  <si>
    <t>SL NO</t>
  </si>
  <si>
    <t>Region</t>
  </si>
  <si>
    <t>Location</t>
  </si>
  <si>
    <t>Vendor Name</t>
  </si>
  <si>
    <t>Invoice No</t>
  </si>
  <si>
    <t>E-Unit (DC/Hub/DS)</t>
  </si>
  <si>
    <t>Bio Metric Code</t>
  </si>
  <si>
    <t>Emp Code</t>
  </si>
  <si>
    <t>EMP NAME</t>
  </si>
  <si>
    <t>Father/Husband name</t>
  </si>
  <si>
    <t>Present Residential address</t>
  </si>
  <si>
    <t>Permanent Address</t>
  </si>
  <si>
    <t>Gender</t>
  </si>
  <si>
    <t>DOB</t>
  </si>
  <si>
    <t>Mobile Number</t>
  </si>
  <si>
    <t>Training Start Date       (DD-MMMYY)</t>
  </si>
  <si>
    <t>DOJ                    (DD-MMMYY)</t>
  </si>
  <si>
    <t>DOR                   (DD-MMMYY)</t>
  </si>
  <si>
    <t>DOL                 (DD-MMMYY)</t>
  </si>
  <si>
    <t>Business</t>
  </si>
  <si>
    <t>Department</t>
  </si>
  <si>
    <t>Sub_Department</t>
  </si>
  <si>
    <t>Role</t>
  </si>
  <si>
    <t>Designation</t>
  </si>
  <si>
    <t>UAN No</t>
  </si>
  <si>
    <t>ESIC No</t>
  </si>
  <si>
    <t>Monthly CTC</t>
  </si>
  <si>
    <t>Payment Date</t>
  </si>
  <si>
    <t>Payable Month</t>
  </si>
  <si>
    <t>Total present days</t>
  </si>
  <si>
    <t>LOP</t>
  </si>
  <si>
    <t>Holiday pay days</t>
  </si>
  <si>
    <t>Notice period shortfall days</t>
  </si>
  <si>
    <t>Basic+DA</t>
  </si>
  <si>
    <t>Additional Wage/HRD</t>
  </si>
  <si>
    <t>Leave</t>
  </si>
  <si>
    <t>Other Allowance/Washing Allowance</t>
  </si>
  <si>
    <t>National Holidays</t>
  </si>
  <si>
    <t>Bonus</t>
  </si>
  <si>
    <t>Gross Salary</t>
  </si>
  <si>
    <t>Additional Wage</t>
  </si>
  <si>
    <t>Other Allowance</t>
  </si>
  <si>
    <t>Other Incentive</t>
  </si>
  <si>
    <t>R&amp;R</t>
  </si>
  <si>
    <t>Productivity Incentive</t>
  </si>
  <si>
    <t>Fixed Communication Allowance</t>
  </si>
  <si>
    <t>Joining Bonus</t>
  </si>
  <si>
    <t>Break Shift</t>
  </si>
  <si>
    <t>Other one time earnings</t>
  </si>
  <si>
    <t>Holiday Wages</t>
  </si>
  <si>
    <t>Others/House Allowance</t>
  </si>
  <si>
    <t>PF (12%)</t>
  </si>
  <si>
    <t>ESI (0.75%)</t>
  </si>
  <si>
    <t>PT</t>
  </si>
  <si>
    <t>EMPLE LWF</t>
  </si>
  <si>
    <t>Other Deduction</t>
  </si>
  <si>
    <t xml:space="preserve">NP Recovery </t>
  </si>
  <si>
    <t>Total Deduction</t>
  </si>
  <si>
    <t>NET PAY</t>
  </si>
  <si>
    <t>PF (13%)</t>
  </si>
  <si>
    <t>ESI (3.25%)</t>
  </si>
  <si>
    <t>Uniform</t>
  </si>
  <si>
    <t>LWF</t>
  </si>
  <si>
    <t>Grat @4.81%</t>
  </si>
  <si>
    <t>Management fee</t>
  </si>
  <si>
    <t>CTC</t>
  </si>
  <si>
    <t>GST</t>
  </si>
  <si>
    <t>Other Charges</t>
  </si>
  <si>
    <t>Invoice Amount</t>
  </si>
  <si>
    <t>BILL AMOUNT</t>
  </si>
  <si>
    <t>DIFFERENCE</t>
  </si>
  <si>
    <t>REMARKS INNOVISION</t>
  </si>
  <si>
    <t>Ahmedabad</t>
  </si>
  <si>
    <t>SURAT</t>
  </si>
  <si>
    <t>HK</t>
  </si>
  <si>
    <t>FIXED WAGES</t>
  </si>
  <si>
    <t>EARNED WAGES</t>
  </si>
  <si>
    <t>DEDUCTION</t>
  </si>
  <si>
    <t>Employer Contribution</t>
  </si>
  <si>
    <t>hfp</t>
  </si>
  <si>
    <t>Manoj</t>
  </si>
  <si>
    <t>T2 Surat IBBN - Gopi talav</t>
  </si>
  <si>
    <t xml:space="preserve">Manoj </t>
  </si>
  <si>
    <t>Aman</t>
  </si>
  <si>
    <t>-</t>
  </si>
  <si>
    <t>Lakhan</t>
  </si>
  <si>
    <t>Sandip</t>
  </si>
  <si>
    <t>Ujjwala Koli</t>
  </si>
  <si>
    <t>T2 Surat IBBN-Ring Road</t>
  </si>
  <si>
    <t>T2 Surat IBBN- Ring Road</t>
  </si>
  <si>
    <t>T2 Surat IBBN- Ring Rod</t>
  </si>
  <si>
    <t>Premala Ben</t>
  </si>
  <si>
    <t>Premala ben</t>
  </si>
  <si>
    <t>T2 Surat IBBN - Vesu</t>
  </si>
  <si>
    <t>Vijay</t>
  </si>
  <si>
    <t xml:space="preserve">Ayush </t>
  </si>
  <si>
    <t>Tinu</t>
  </si>
  <si>
    <t>Ayush</t>
  </si>
  <si>
    <t xml:space="preserve">Lakhan </t>
  </si>
  <si>
    <t>ANTIMA</t>
  </si>
  <si>
    <t>HAVING AADHAR CARD ISSUE HENCE GIVEN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</si>
</sst>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_(* #,##0_);_(* \(#,##0\);_(* &quot;-&quot;??_);_(@_)"/>
    <numFmt numFmtId="165" formatCode="[$-409]d/mmm/yy;@"/>
    <numFmt numFmtId="166" formatCode="_(* #,##0.00_);_(* \(#,##0.00\);_(* &quot;-&quot;??_);_(@_)"/>
    <numFmt numFmtId="167" formatCode="[$-409]d\-mmm\-yy;@"/>
  </numFmts>
  <fonts count="17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9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6" fillId="0" borderId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1" applyNumberFormat="1" applyFont="1" applyFill="1" applyBorder="1" applyAlignment="1" applyProtection="1">
      <alignment horizontal="left" vertical="top" wrapText="1"/>
    </xf>
    <xf numFmtId="1" fontId="4" fillId="4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4" borderId="1" xfId="2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4" fontId="9" fillId="0" borderId="1" xfId="1" applyNumberFormat="1" applyFont="1" applyFill="1" applyBorder="1" applyAlignment="1" applyProtection="1">
      <alignment horizontal="left"/>
    </xf>
    <xf numFmtId="165" fontId="9" fillId="0" borderId="1" xfId="0" applyNumberFormat="1" applyFont="1" applyBorder="1" applyAlignment="1">
      <alignment horizontal="left"/>
    </xf>
    <xf numFmtId="17" fontId="9" fillId="0" borderId="1" xfId="0" applyNumberFormat="1" applyFont="1" applyBorder="1" applyAlignment="1">
      <alignment horizontal="left" vertical="center"/>
    </xf>
    <xf numFmtId="164" fontId="10" fillId="0" borderId="1" xfId="1" applyNumberFormat="1" applyFont="1" applyFill="1" applyBorder="1" applyAlignment="1" applyProtection="1">
      <alignment horizontal="left"/>
    </xf>
    <xf numFmtId="2" fontId="13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left"/>
    </xf>
    <xf numFmtId="166" fontId="9" fillId="0" borderId="1" xfId="1" applyNumberFormat="1" applyFont="1" applyFill="1" applyBorder="1" applyAlignment="1" applyProtection="1">
      <alignment horizontal="left"/>
    </xf>
    <xf numFmtId="164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7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67" fontId="9" fillId="0" borderId="1" xfId="0" applyNumberFormat="1" applyFont="1" applyBorder="1" applyAlignment="1">
      <alignment horizontal="left" vertical="center"/>
    </xf>
    <xf numFmtId="15" fontId="10" fillId="0" borderId="1" xfId="0" applyNumberFormat="1" applyFont="1" applyBorder="1" applyAlignment="1">
      <alignment horizontal="left"/>
    </xf>
    <xf numFmtId="15" fontId="12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64" fontId="9" fillId="0" borderId="1" xfId="1" applyNumberFormat="1" applyFont="1" applyFill="1" applyBorder="1" applyAlignment="1" applyProtection="1">
      <alignment horizontal="left" vertical="center"/>
    </xf>
    <xf numFmtId="17" fontId="9" fillId="0" borderId="1" xfId="0" applyNumberFormat="1" applyFont="1" applyBorder="1" applyAlignment="1">
      <alignment horizontal="left"/>
    </xf>
    <xf numFmtId="164" fontId="14" fillId="0" borderId="1" xfId="1" applyNumberFormat="1" applyFont="1" applyFill="1" applyBorder="1" applyAlignment="1" applyProtection="1">
      <alignment horizontal="center"/>
    </xf>
    <xf numFmtId="164" fontId="9" fillId="0" borderId="1" xfId="1" applyNumberFormat="1" applyFont="1" applyFill="1" applyBorder="1" applyAlignment="1" applyProtection="1">
      <alignment horizontal="left" vertical="top"/>
    </xf>
    <xf numFmtId="164" fontId="8" fillId="5" borderId="1" xfId="1" applyNumberFormat="1" applyFont="1" applyFill="1" applyBorder="1" applyAlignment="1" applyProtection="1">
      <alignment horizontal="left" vertical="top"/>
    </xf>
    <xf numFmtId="166" fontId="9" fillId="0" borderId="1" xfId="1" applyNumberFormat="1" applyFont="1" applyFill="1" applyBorder="1" applyAlignment="1" applyProtection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167" fontId="9" fillId="0" borderId="1" xfId="0" applyNumberFormat="1" applyFont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9" fillId="9" borderId="2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/>
    </xf>
    <xf numFmtId="0" fontId="10" fillId="9" borderId="3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167" fontId="10" fillId="9" borderId="1" xfId="0" applyNumberFormat="1" applyFont="1" applyFill="1" applyBorder="1" applyAlignment="1">
      <alignment horizontal="left"/>
    </xf>
    <xf numFmtId="1" fontId="10" fillId="9" borderId="1" xfId="0" applyNumberFormat="1" applyFont="1" applyFill="1" applyBorder="1" applyAlignment="1">
      <alignment horizontal="left"/>
    </xf>
    <xf numFmtId="15" fontId="10" fillId="9" borderId="1" xfId="0" applyNumberFormat="1" applyFont="1" applyFill="1" applyBorder="1" applyAlignment="1">
      <alignment horizontal="left"/>
    </xf>
    <xf numFmtId="164" fontId="10" fillId="9" borderId="1" xfId="1" applyNumberFormat="1" applyFont="1" applyFill="1" applyBorder="1" applyAlignment="1" applyProtection="1">
      <alignment horizontal="left"/>
    </xf>
    <xf numFmtId="165" fontId="10" fillId="9" borderId="1" xfId="0" applyNumberFormat="1" applyFont="1" applyFill="1" applyBorder="1" applyAlignment="1">
      <alignment horizontal="left"/>
    </xf>
    <xf numFmtId="17" fontId="10" fillId="9" borderId="1" xfId="0" applyNumberFormat="1" applyFont="1" applyFill="1" applyBorder="1" applyAlignment="1">
      <alignment horizontal="left"/>
    </xf>
    <xf numFmtId="164" fontId="14" fillId="9" borderId="14" xfId="1" applyNumberFormat="1" applyFont="1" applyFill="1" applyBorder="1" applyAlignment="1" applyProtection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9" fillId="0" borderId="1" xfId="1" applyNumberFormat="1" applyFont="1" applyFill="1" applyBorder="1" applyAlignment="1" applyProtection="1">
      <alignment horizontal="center"/>
    </xf>
    <xf numFmtId="2" fontId="13" fillId="0" borderId="1" xfId="0" applyNumberFormat="1" applyFont="1" applyBorder="1" applyAlignment="1">
      <alignment horizontal="center" vertical="center"/>
    </xf>
    <xf numFmtId="0" fontId="9" fillId="9" borderId="14" xfId="0" applyFont="1" applyFill="1" applyBorder="1" applyAlignment="1">
      <alignment horizontal="left"/>
    </xf>
    <xf numFmtId="0" fontId="9" fillId="9" borderId="1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horizontal="left"/>
    </xf>
    <xf numFmtId="0" fontId="10" fillId="9" borderId="14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9" borderId="14" xfId="0" applyFont="1" applyFill="1" applyBorder="1" applyAlignment="1">
      <alignment vertical="center"/>
    </xf>
    <xf numFmtId="167" fontId="10" fillId="9" borderId="14" xfId="0" applyNumberFormat="1" applyFont="1" applyFill="1" applyBorder="1" applyAlignment="1">
      <alignment horizontal="left"/>
    </xf>
    <xf numFmtId="1" fontId="10" fillId="9" borderId="14" xfId="0" applyNumberFormat="1" applyFont="1" applyFill="1" applyBorder="1" applyAlignment="1">
      <alignment horizontal="left"/>
    </xf>
    <xf numFmtId="167" fontId="10" fillId="9" borderId="14" xfId="0" applyNumberFormat="1" applyFont="1" applyFill="1" applyBorder="1" applyAlignment="1">
      <alignment horizontal="left" vertical="center"/>
    </xf>
    <xf numFmtId="15" fontId="10" fillId="9" borderId="14" xfId="0" applyNumberFormat="1" applyFont="1" applyFill="1" applyBorder="1" applyAlignment="1">
      <alignment horizontal="left"/>
    </xf>
    <xf numFmtId="0" fontId="10" fillId="9" borderId="14" xfId="0" applyFont="1" applyFill="1" applyBorder="1" applyAlignment="1">
      <alignment horizontal="center"/>
    </xf>
    <xf numFmtId="164" fontId="10" fillId="9" borderId="14" xfId="1" applyNumberFormat="1" applyFont="1" applyFill="1" applyBorder="1" applyAlignment="1" applyProtection="1">
      <alignment horizontal="left" vertical="center"/>
    </xf>
    <xf numFmtId="165" fontId="10" fillId="9" borderId="14" xfId="0" applyNumberFormat="1" applyFont="1" applyFill="1" applyBorder="1" applyAlignment="1">
      <alignment horizontal="left"/>
    </xf>
    <xf numFmtId="17" fontId="10" fillId="9" borderId="14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0" fillId="0" borderId="1" xfId="0" applyBorder="1"/>
    <xf numFmtId="164" fontId="14" fillId="9" borderId="1" xfId="1" applyNumberFormat="1" applyFont="1" applyFill="1" applyBorder="1" applyAlignment="1" applyProtection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/>
    <xf numFmtId="0" fontId="2" fillId="0" borderId="1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left" vertical="center"/>
    </xf>
    <xf numFmtId="0" fontId="8" fillId="7" borderId="1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"/>
  <sheetViews>
    <sheetView tabSelected="1" workbookViewId="0">
      <pane xSplit="6" topLeftCell="AL1" activePane="topRight" state="frozen"/>
      <selection pane="topRight" activeCell="AN3" sqref="AN3"/>
    </sheetView>
  </sheetViews>
  <sheetFormatPr defaultRowHeight="13.5"/>
  <cols>
    <col min="1" max="1" width="6.4375" bestFit="1" customWidth="1"/>
    <col min="2" max="2" width="29.4375" bestFit="1" customWidth="1"/>
    <col min="3" max="3" width="21.4375" bestFit="1" customWidth="1"/>
    <col min="4" max="4" width="11.875" bestFit="1" customWidth="1"/>
    <col min="5" max="5" width="6.875" bestFit="1" customWidth="1"/>
    <col min="6" max="6" width="14.875" bestFit="1" customWidth="1"/>
    <col min="7" max="16" width="10.125" bestFit="1" customWidth="1"/>
    <col min="17" max="17" width="10.125" customWidth="1"/>
    <col min="18" max="37" width="10.125" bestFit="1" customWidth="1"/>
    <col min="39" max="39" width="8.3125" bestFit="1" customWidth="1"/>
  </cols>
  <sheetData>
    <row r="1" spans="1:40" ht="39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45951</v>
      </c>
      <c r="H1" s="2">
        <v>45952</v>
      </c>
      <c r="I1" s="2">
        <v>45953</v>
      </c>
      <c r="J1" s="2">
        <v>45954</v>
      </c>
      <c r="K1" s="2">
        <v>45955</v>
      </c>
      <c r="L1" s="2">
        <v>45956</v>
      </c>
      <c r="M1" s="2">
        <v>45957</v>
      </c>
      <c r="N1" s="2">
        <v>45958</v>
      </c>
      <c r="O1" s="2">
        <v>45959</v>
      </c>
      <c r="P1" s="2">
        <v>45960</v>
      </c>
      <c r="Q1" s="2">
        <v>45961</v>
      </c>
      <c r="R1" s="2">
        <v>45962</v>
      </c>
      <c r="S1" s="2">
        <v>45963</v>
      </c>
      <c r="T1" s="2">
        <v>45964</v>
      </c>
      <c r="U1" s="2">
        <v>45965</v>
      </c>
      <c r="V1" s="2">
        <v>45966</v>
      </c>
      <c r="W1" s="2">
        <v>45967</v>
      </c>
      <c r="X1" s="2">
        <v>45968</v>
      </c>
      <c r="Y1" s="2">
        <v>45969</v>
      </c>
      <c r="Z1" s="2">
        <v>45970</v>
      </c>
      <c r="AA1" s="2">
        <v>45971</v>
      </c>
      <c r="AB1" s="2">
        <v>45972</v>
      </c>
      <c r="AC1" s="2">
        <v>45973</v>
      </c>
      <c r="AD1" s="2">
        <v>45974</v>
      </c>
      <c r="AE1" s="2">
        <v>45975</v>
      </c>
      <c r="AF1" s="2">
        <v>45976</v>
      </c>
      <c r="AG1" s="2">
        <v>45977</v>
      </c>
      <c r="AH1" s="2">
        <v>45978</v>
      </c>
      <c r="AI1" s="2">
        <v>45979</v>
      </c>
      <c r="AJ1" s="2">
        <v>45980</v>
      </c>
      <c r="AK1" s="2">
        <v>45981</v>
      </c>
      <c r="AL1" s="3" t="s">
        <v>6</v>
      </c>
      <c r="AM1" s="3" t="s">
        <v>7</v>
      </c>
    </row>
    <row r="2" spans="1:40">
      <c r="A2" s="4" t="s">
        <v>10</v>
      </c>
      <c r="B2" s="4" t="s">
        <v>8</v>
      </c>
      <c r="C2" s="4" t="s">
        <v>9</v>
      </c>
      <c r="D2" s="4" t="s">
        <v>11</v>
      </c>
      <c r="E2" s="5"/>
      <c r="F2" s="109" t="s">
        <v>13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4" t="s">
        <v>12</v>
      </c>
      <c r="T2" s="4" t="s">
        <v>12</v>
      </c>
      <c r="U2" s="4" t="s">
        <v>12</v>
      </c>
      <c r="V2" s="4" t="s">
        <v>12</v>
      </c>
      <c r="W2" s="4" t="s">
        <v>12</v>
      </c>
      <c r="X2" s="4" t="s">
        <v>12</v>
      </c>
      <c r="Y2" s="4" t="s">
        <v>12</v>
      </c>
      <c r="Z2" s="4" t="s">
        <v>12</v>
      </c>
      <c r="AA2" s="4" t="s">
        <v>12</v>
      </c>
      <c r="AB2" s="4" t="s">
        <v>12</v>
      </c>
      <c r="AC2" s="4" t="s">
        <v>12</v>
      </c>
      <c r="AD2" s="4" t="s">
        <v>12</v>
      </c>
      <c r="AE2" s="4" t="s">
        <v>12</v>
      </c>
      <c r="AF2" s="4" t="s">
        <v>12</v>
      </c>
      <c r="AG2" s="4" t="s">
        <v>12</v>
      </c>
      <c r="AH2" s="4" t="s">
        <v>12</v>
      </c>
      <c r="AI2" s="4" t="s">
        <v>12</v>
      </c>
      <c r="AJ2" s="4" t="s">
        <v>12</v>
      </c>
      <c r="AK2" s="4" t="s">
        <v>12</v>
      </c>
      <c r="AL2" s="5">
        <v>31</v>
      </c>
      <c r="AM2" s="5"/>
      <c r="AN2" s="114" t="s">
        <v>121</v>
      </c>
    </row>
    <row r="3" spans="1:40">
      <c r="A3" s="4" t="s">
        <v>10</v>
      </c>
      <c r="B3" s="4" t="s">
        <v>8</v>
      </c>
      <c r="C3" s="4" t="s">
        <v>9</v>
      </c>
      <c r="D3" s="4" t="s">
        <v>11</v>
      </c>
      <c r="E3" s="5"/>
      <c r="F3" s="109" t="s">
        <v>14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  <c r="Q3" s="4" t="s">
        <v>12</v>
      </c>
      <c r="R3" s="4" t="s">
        <v>12</v>
      </c>
      <c r="S3" s="4" t="s">
        <v>12</v>
      </c>
      <c r="T3" s="4" t="s">
        <v>12</v>
      </c>
      <c r="U3" s="4" t="s">
        <v>12</v>
      </c>
      <c r="V3" s="4" t="s">
        <v>12</v>
      </c>
      <c r="W3" s="4" t="s">
        <v>12</v>
      </c>
      <c r="X3" s="4" t="s">
        <v>12</v>
      </c>
      <c r="Y3" s="4" t="s">
        <v>12</v>
      </c>
      <c r="Z3" s="4" t="s">
        <v>12</v>
      </c>
      <c r="AA3" s="4" t="s">
        <v>12</v>
      </c>
      <c r="AB3" s="4" t="s">
        <v>12</v>
      </c>
      <c r="AC3" s="4" t="s">
        <v>12</v>
      </c>
      <c r="AD3" s="4" t="s">
        <v>12</v>
      </c>
      <c r="AE3" s="4" t="s">
        <v>12</v>
      </c>
      <c r="AF3" s="4" t="s">
        <v>12</v>
      </c>
      <c r="AG3" s="4" t="s">
        <v>12</v>
      </c>
      <c r="AH3" s="4" t="s">
        <v>12</v>
      </c>
      <c r="AI3" s="4" t="s">
        <v>12</v>
      </c>
      <c r="AJ3" s="4" t="s">
        <v>12</v>
      </c>
      <c r="AK3" s="4" t="s">
        <v>12</v>
      </c>
      <c r="AL3" s="5">
        <v>31</v>
      </c>
      <c r="AM3" s="5"/>
      <c r="AN3" s="114" t="s">
        <v>120</v>
      </c>
    </row>
    <row r="4" spans="1:40">
      <c r="A4" s="4" t="s">
        <v>10</v>
      </c>
      <c r="B4" s="4" t="s">
        <v>8</v>
      </c>
      <c r="C4" s="4" t="s">
        <v>9</v>
      </c>
      <c r="D4" s="4" t="s">
        <v>11</v>
      </c>
      <c r="E4" s="5"/>
      <c r="F4" s="109" t="s">
        <v>103</v>
      </c>
      <c r="G4" s="4" t="s">
        <v>105</v>
      </c>
      <c r="H4" s="4" t="s">
        <v>105</v>
      </c>
      <c r="I4" s="4" t="s">
        <v>105</v>
      </c>
      <c r="J4" s="4" t="s">
        <v>105</v>
      </c>
      <c r="K4" s="4" t="s">
        <v>105</v>
      </c>
      <c r="L4" s="4" t="s">
        <v>105</v>
      </c>
      <c r="M4" s="4" t="s">
        <v>105</v>
      </c>
      <c r="N4" s="4" t="s">
        <v>105</v>
      </c>
      <c r="O4" s="4" t="s">
        <v>105</v>
      </c>
      <c r="P4" s="4" t="s">
        <v>105</v>
      </c>
      <c r="Q4" s="4" t="s">
        <v>105</v>
      </c>
      <c r="R4" s="4" t="s">
        <v>105</v>
      </c>
      <c r="S4" s="4" t="s">
        <v>105</v>
      </c>
      <c r="T4" s="4" t="s">
        <v>105</v>
      </c>
      <c r="U4" s="4" t="s">
        <v>12</v>
      </c>
      <c r="V4" s="4" t="s">
        <v>105</v>
      </c>
      <c r="W4" s="4" t="s">
        <v>105</v>
      </c>
      <c r="X4" s="4" t="s">
        <v>105</v>
      </c>
      <c r="Y4" s="4" t="s">
        <v>105</v>
      </c>
      <c r="Z4" s="4" t="s">
        <v>105</v>
      </c>
      <c r="AA4" s="4" t="s">
        <v>105</v>
      </c>
      <c r="AB4" s="4" t="s">
        <v>105</v>
      </c>
      <c r="AC4" s="4" t="s">
        <v>105</v>
      </c>
      <c r="AD4" s="4" t="s">
        <v>105</v>
      </c>
      <c r="AE4" s="4" t="s">
        <v>105</v>
      </c>
      <c r="AF4" s="4" t="s">
        <v>105</v>
      </c>
      <c r="AG4" s="4" t="s">
        <v>105</v>
      </c>
      <c r="AH4" s="4" t="s">
        <v>105</v>
      </c>
      <c r="AI4" s="4" t="s">
        <v>105</v>
      </c>
      <c r="AJ4" s="4" t="s">
        <v>105</v>
      </c>
      <c r="AK4" s="4" t="s">
        <v>105</v>
      </c>
      <c r="AL4" s="5">
        <v>1</v>
      </c>
      <c r="AM4" s="5"/>
    </row>
    <row r="5" spans="1:40">
      <c r="A5" s="4" t="s">
        <v>10</v>
      </c>
      <c r="B5" s="4" t="s">
        <v>8</v>
      </c>
      <c r="C5" s="4" t="s">
        <v>9</v>
      </c>
      <c r="D5" s="4" t="s">
        <v>11</v>
      </c>
      <c r="E5" s="5"/>
      <c r="F5" s="109" t="s">
        <v>104</v>
      </c>
      <c r="G5" s="4" t="s">
        <v>105</v>
      </c>
      <c r="H5" s="4" t="s">
        <v>105</v>
      </c>
      <c r="I5" s="4" t="s">
        <v>105</v>
      </c>
      <c r="J5" s="4" t="s">
        <v>105</v>
      </c>
      <c r="K5" s="4" t="s">
        <v>105</v>
      </c>
      <c r="L5" s="4" t="s">
        <v>105</v>
      </c>
      <c r="M5" s="4" t="s">
        <v>105</v>
      </c>
      <c r="N5" s="4" t="s">
        <v>105</v>
      </c>
      <c r="O5" s="4" t="s">
        <v>105</v>
      </c>
      <c r="P5" s="4" t="s">
        <v>105</v>
      </c>
      <c r="Q5" s="4" t="s">
        <v>105</v>
      </c>
      <c r="R5" s="4" t="s">
        <v>105</v>
      </c>
      <c r="S5" s="4" t="s">
        <v>105</v>
      </c>
      <c r="T5" s="4" t="s">
        <v>105</v>
      </c>
      <c r="U5" s="4" t="s">
        <v>12</v>
      </c>
      <c r="V5" s="4" t="s">
        <v>105</v>
      </c>
      <c r="W5" s="4" t="s">
        <v>105</v>
      </c>
      <c r="X5" s="4" t="s">
        <v>105</v>
      </c>
      <c r="Y5" s="4" t="s">
        <v>105</v>
      </c>
      <c r="Z5" s="4" t="s">
        <v>105</v>
      </c>
      <c r="AA5" s="4" t="s">
        <v>105</v>
      </c>
      <c r="AB5" s="4" t="s">
        <v>105</v>
      </c>
      <c r="AC5" s="4" t="s">
        <v>105</v>
      </c>
      <c r="AD5" s="4" t="s">
        <v>105</v>
      </c>
      <c r="AE5" s="4" t="s">
        <v>105</v>
      </c>
      <c r="AF5" s="4" t="s">
        <v>105</v>
      </c>
      <c r="AG5" s="4" t="s">
        <v>105</v>
      </c>
      <c r="AH5" s="4" t="s">
        <v>105</v>
      </c>
      <c r="AI5" s="4" t="s">
        <v>105</v>
      </c>
      <c r="AJ5" s="4" t="s">
        <v>105</v>
      </c>
      <c r="AK5" s="4" t="s">
        <v>105</v>
      </c>
      <c r="AL5" s="5">
        <v>1</v>
      </c>
      <c r="AM5" s="5"/>
    </row>
    <row r="6" spans="1:40">
      <c r="A6" s="5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109">
        <f>SUM(AL2:AL5)</f>
        <v>64</v>
      </c>
      <c r="AM6" s="5"/>
    </row>
    <row r="7" spans="1:40">
      <c r="A7" s="4" t="s">
        <v>10</v>
      </c>
      <c r="B7" s="4" t="s">
        <v>8</v>
      </c>
      <c r="C7" s="4" t="s">
        <v>15</v>
      </c>
      <c r="D7" s="4" t="s">
        <v>11</v>
      </c>
      <c r="E7" s="5"/>
      <c r="F7" s="109" t="s">
        <v>112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104" t="s">
        <v>16</v>
      </c>
      <c r="M7" s="4" t="s">
        <v>12</v>
      </c>
      <c r="N7" s="4" t="s">
        <v>12</v>
      </c>
      <c r="O7" s="4" t="s">
        <v>12</v>
      </c>
      <c r="P7" s="4" t="s">
        <v>12</v>
      </c>
      <c r="Q7" s="4" t="s">
        <v>12</v>
      </c>
      <c r="R7" s="4" t="s">
        <v>12</v>
      </c>
      <c r="S7" s="104" t="s">
        <v>16</v>
      </c>
      <c r="T7" s="4" t="s">
        <v>12</v>
      </c>
      <c r="U7" s="4" t="s">
        <v>12</v>
      </c>
      <c r="V7" s="4" t="s">
        <v>12</v>
      </c>
      <c r="W7" s="4" t="s">
        <v>12</v>
      </c>
      <c r="X7" s="4" t="s">
        <v>12</v>
      </c>
      <c r="Y7" s="4" t="s">
        <v>12</v>
      </c>
      <c r="Z7" s="104" t="s">
        <v>16</v>
      </c>
      <c r="AA7" s="4" t="s">
        <v>12</v>
      </c>
      <c r="AB7" s="4" t="s">
        <v>12</v>
      </c>
      <c r="AC7" s="4" t="s">
        <v>12</v>
      </c>
      <c r="AD7" s="4" t="s">
        <v>12</v>
      </c>
      <c r="AE7" s="4" t="s">
        <v>12</v>
      </c>
      <c r="AF7" s="4" t="s">
        <v>12</v>
      </c>
      <c r="AG7" s="104" t="s">
        <v>16</v>
      </c>
      <c r="AH7" s="4" t="s">
        <v>12</v>
      </c>
      <c r="AI7" s="4" t="s">
        <v>12</v>
      </c>
      <c r="AJ7" s="4" t="s">
        <v>12</v>
      </c>
      <c r="AK7" s="4" t="s">
        <v>12</v>
      </c>
      <c r="AL7" s="5">
        <v>27</v>
      </c>
      <c r="AM7" s="5"/>
    </row>
    <row r="8" spans="1:40">
      <c r="A8" s="5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109">
        <f>SUM(AL7)</f>
        <v>27</v>
      </c>
      <c r="AM8" s="109"/>
    </row>
    <row r="9" spans="1:40">
      <c r="A9" s="4" t="s">
        <v>10</v>
      </c>
      <c r="B9" s="4" t="s">
        <v>8</v>
      </c>
      <c r="C9" s="4" t="s">
        <v>17</v>
      </c>
      <c r="D9" s="4" t="s">
        <v>11</v>
      </c>
      <c r="E9" s="5"/>
      <c r="F9" s="109" t="s">
        <v>19</v>
      </c>
      <c r="G9" s="4" t="s">
        <v>12</v>
      </c>
      <c r="H9" s="4" t="s">
        <v>12</v>
      </c>
      <c r="I9" s="104" t="s">
        <v>16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104" t="s">
        <v>16</v>
      </c>
      <c r="T9" s="4" t="s">
        <v>12</v>
      </c>
      <c r="U9" s="4" t="s">
        <v>12</v>
      </c>
      <c r="V9" s="4" t="s">
        <v>12</v>
      </c>
      <c r="W9" s="4" t="s">
        <v>12</v>
      </c>
      <c r="X9" s="4" t="s">
        <v>12</v>
      </c>
      <c r="Y9" s="4" t="s">
        <v>12</v>
      </c>
      <c r="Z9" s="104" t="s">
        <v>16</v>
      </c>
      <c r="AA9" s="4" t="s">
        <v>12</v>
      </c>
      <c r="AB9" s="4" t="s">
        <v>12</v>
      </c>
      <c r="AC9" s="4" t="s">
        <v>12</v>
      </c>
      <c r="AD9" s="4" t="s">
        <v>12</v>
      </c>
      <c r="AE9" s="4" t="s">
        <v>12</v>
      </c>
      <c r="AF9" s="4" t="s">
        <v>12</v>
      </c>
      <c r="AG9" s="104" t="s">
        <v>16</v>
      </c>
      <c r="AH9" s="4" t="s">
        <v>12</v>
      </c>
      <c r="AI9" s="4" t="s">
        <v>12</v>
      </c>
      <c r="AJ9" s="4" t="s">
        <v>12</v>
      </c>
      <c r="AK9" s="4" t="s">
        <v>12</v>
      </c>
      <c r="AL9" s="5">
        <v>27</v>
      </c>
      <c r="AM9" s="5"/>
    </row>
    <row r="10" spans="1:40">
      <c r="A10" s="5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109">
        <f>SUM(AL9)</f>
        <v>27</v>
      </c>
      <c r="AM10" s="109"/>
    </row>
    <row r="11" spans="1:40">
      <c r="A11" s="4" t="s">
        <v>10</v>
      </c>
      <c r="B11" s="4" t="s">
        <v>8</v>
      </c>
      <c r="C11" s="4" t="s">
        <v>18</v>
      </c>
      <c r="D11" s="4" t="s">
        <v>11</v>
      </c>
      <c r="E11" s="5"/>
      <c r="F11" s="109" t="s">
        <v>20</v>
      </c>
      <c r="G11" s="4" t="s">
        <v>12</v>
      </c>
      <c r="H11" s="4" t="s">
        <v>12</v>
      </c>
      <c r="I11" s="104" t="s">
        <v>16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104" t="s">
        <v>16</v>
      </c>
      <c r="T11" s="4" t="s">
        <v>12</v>
      </c>
      <c r="U11" s="4" t="s">
        <v>12</v>
      </c>
      <c r="V11" s="4" t="s">
        <v>12</v>
      </c>
      <c r="W11" s="4" t="s">
        <v>12</v>
      </c>
      <c r="X11" s="4" t="s">
        <v>12</v>
      </c>
      <c r="Y11" s="4" t="s">
        <v>12</v>
      </c>
      <c r="Z11" s="104" t="s">
        <v>16</v>
      </c>
      <c r="AA11" s="4" t="s">
        <v>12</v>
      </c>
      <c r="AB11" s="4" t="s">
        <v>12</v>
      </c>
      <c r="AC11" s="4" t="s">
        <v>12</v>
      </c>
      <c r="AD11" s="4" t="s">
        <v>12</v>
      </c>
      <c r="AE11" s="4" t="s">
        <v>12</v>
      </c>
      <c r="AF11" s="4" t="s">
        <v>12</v>
      </c>
      <c r="AG11" s="104" t="s">
        <v>16</v>
      </c>
      <c r="AH11" s="4" t="s">
        <v>12</v>
      </c>
      <c r="AI11" s="4" t="s">
        <v>12</v>
      </c>
      <c r="AJ11" s="4" t="s">
        <v>12</v>
      </c>
      <c r="AK11" s="4" t="s">
        <v>12</v>
      </c>
      <c r="AL11" s="5">
        <v>27</v>
      </c>
      <c r="AM11" s="5"/>
    </row>
    <row r="12" spans="1:40">
      <c r="A12" s="101"/>
      <c r="B12" s="101"/>
      <c r="C12" s="101"/>
      <c r="D12" s="101"/>
      <c r="E12" s="101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111">
        <f>SUM(AL11)</f>
        <v>27</v>
      </c>
      <c r="AM12" s="110"/>
    </row>
    <row r="13" spans="1:40">
      <c r="A13" s="4" t="s">
        <v>10</v>
      </c>
      <c r="B13" s="4" t="s">
        <v>8</v>
      </c>
      <c r="C13" s="4" t="s">
        <v>102</v>
      </c>
      <c r="D13" s="4" t="s">
        <v>11</v>
      </c>
      <c r="E13" s="101"/>
      <c r="F13" s="5" t="s">
        <v>106</v>
      </c>
      <c r="G13" s="104" t="s">
        <v>16</v>
      </c>
      <c r="H13" s="4" t="s">
        <v>12</v>
      </c>
      <c r="I13" s="104" t="s">
        <v>16</v>
      </c>
      <c r="J13" s="104" t="s">
        <v>16</v>
      </c>
      <c r="K13" s="4" t="s">
        <v>12</v>
      </c>
      <c r="L13" s="4" t="s">
        <v>12</v>
      </c>
      <c r="M13" s="4" t="s">
        <v>12</v>
      </c>
      <c r="N13" s="4" t="s">
        <v>12</v>
      </c>
      <c r="O13" s="4" t="s">
        <v>12</v>
      </c>
      <c r="P13" s="4" t="s">
        <v>12</v>
      </c>
      <c r="Q13" s="4" t="s">
        <v>12</v>
      </c>
      <c r="R13" s="4" t="s">
        <v>12</v>
      </c>
      <c r="S13" s="4" t="s">
        <v>12</v>
      </c>
      <c r="T13" s="4" t="s">
        <v>12</v>
      </c>
      <c r="U13" s="4" t="s">
        <v>12</v>
      </c>
      <c r="V13" s="4" t="s">
        <v>12</v>
      </c>
      <c r="W13" s="4" t="s">
        <v>12</v>
      </c>
      <c r="X13" s="4" t="s">
        <v>12</v>
      </c>
      <c r="Y13" s="4" t="s">
        <v>12</v>
      </c>
      <c r="Z13" s="4" t="s">
        <v>12</v>
      </c>
      <c r="AA13" s="4" t="s">
        <v>12</v>
      </c>
      <c r="AB13" s="4" t="s">
        <v>12</v>
      </c>
      <c r="AC13" s="4" t="s">
        <v>12</v>
      </c>
      <c r="AD13" s="4" t="s">
        <v>12</v>
      </c>
      <c r="AE13" s="104" t="s">
        <v>16</v>
      </c>
      <c r="AF13" s="4" t="s">
        <v>12</v>
      </c>
      <c r="AG13" s="4" t="s">
        <v>12</v>
      </c>
      <c r="AH13" s="4" t="s">
        <v>12</v>
      </c>
      <c r="AI13" s="4" t="s">
        <v>12</v>
      </c>
      <c r="AJ13" s="4" t="s">
        <v>12</v>
      </c>
      <c r="AK13" s="104" t="s">
        <v>16</v>
      </c>
      <c r="AL13" s="109">
        <v>26</v>
      </c>
      <c r="AM13" s="101"/>
    </row>
    <row r="14" spans="1:40">
      <c r="A14" s="4" t="s">
        <v>10</v>
      </c>
      <c r="B14" s="4" t="s">
        <v>8</v>
      </c>
      <c r="C14" s="4" t="s">
        <v>102</v>
      </c>
      <c r="D14" s="4" t="s">
        <v>11</v>
      </c>
      <c r="E14" s="101"/>
      <c r="F14" s="109" t="s">
        <v>101</v>
      </c>
      <c r="G14" s="4" t="s">
        <v>12</v>
      </c>
      <c r="H14" s="104" t="s">
        <v>16</v>
      </c>
      <c r="I14" s="104" t="s">
        <v>16</v>
      </c>
      <c r="J14" s="4" t="s">
        <v>12</v>
      </c>
      <c r="K14" s="4" t="s">
        <v>12</v>
      </c>
      <c r="L14" s="4" t="s">
        <v>12</v>
      </c>
      <c r="M14" s="4" t="s">
        <v>12</v>
      </c>
      <c r="N14" s="4" t="s">
        <v>12</v>
      </c>
      <c r="O14" s="4" t="s">
        <v>12</v>
      </c>
      <c r="P14" s="4" t="s">
        <v>12</v>
      </c>
      <c r="Q14" s="4" t="s">
        <v>12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>
        <v>9</v>
      </c>
      <c r="AM14" s="110"/>
    </row>
    <row r="15" spans="1:40">
      <c r="A15" s="4" t="s">
        <v>10</v>
      </c>
      <c r="B15" s="4" t="s">
        <v>8</v>
      </c>
      <c r="C15" s="4" t="s">
        <v>102</v>
      </c>
      <c r="D15" s="4" t="s">
        <v>11</v>
      </c>
      <c r="E15" s="101"/>
      <c r="F15" s="4" t="s">
        <v>107</v>
      </c>
      <c r="G15" s="4" t="s">
        <v>12</v>
      </c>
      <c r="H15" s="104" t="s">
        <v>16</v>
      </c>
      <c r="I15" s="104" t="s">
        <v>16</v>
      </c>
      <c r="J15" s="4" t="s">
        <v>12</v>
      </c>
      <c r="K15" s="4" t="s">
        <v>12</v>
      </c>
      <c r="L15" s="104" t="s">
        <v>16</v>
      </c>
      <c r="M15" s="104" t="s">
        <v>16</v>
      </c>
      <c r="N15" s="104" t="s">
        <v>16</v>
      </c>
      <c r="O15" s="104" t="s">
        <v>16</v>
      </c>
      <c r="P15" s="104" t="s">
        <v>16</v>
      </c>
      <c r="Q15" s="104" t="s">
        <v>16</v>
      </c>
      <c r="R15" s="4" t="s">
        <v>12</v>
      </c>
      <c r="S15" s="4" t="s">
        <v>12</v>
      </c>
      <c r="T15" s="4" t="s">
        <v>12</v>
      </c>
      <c r="U15" s="4" t="s">
        <v>12</v>
      </c>
      <c r="V15" s="4" t="s">
        <v>12</v>
      </c>
      <c r="W15" s="4" t="s">
        <v>12</v>
      </c>
      <c r="X15" s="4" t="s">
        <v>12</v>
      </c>
      <c r="Y15" s="4" t="s">
        <v>12</v>
      </c>
      <c r="Z15" s="4" t="s">
        <v>12</v>
      </c>
      <c r="AA15" s="104" t="s">
        <v>16</v>
      </c>
      <c r="AB15" s="4" t="s">
        <v>12</v>
      </c>
      <c r="AC15" s="104" t="s">
        <v>16</v>
      </c>
      <c r="AD15" s="104" t="s">
        <v>16</v>
      </c>
      <c r="AE15" s="4" t="s">
        <v>12</v>
      </c>
      <c r="AF15" s="4" t="s">
        <v>12</v>
      </c>
      <c r="AG15" s="104" t="s">
        <v>16</v>
      </c>
      <c r="AH15" s="104" t="s">
        <v>16</v>
      </c>
      <c r="AI15" s="104" t="s">
        <v>16</v>
      </c>
      <c r="AJ15" s="104" t="s">
        <v>16</v>
      </c>
      <c r="AK15" s="4" t="s">
        <v>12</v>
      </c>
      <c r="AL15" s="5">
        <v>16</v>
      </c>
      <c r="AM15" s="101"/>
    </row>
    <row r="16" spans="1:40">
      <c r="A16" s="4"/>
      <c r="B16" s="4"/>
      <c r="C16" s="4"/>
      <c r="D16" s="4"/>
      <c r="E16" s="101"/>
      <c r="F16" s="106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11">
        <f>SUM(AL13:AL15)</f>
        <v>51</v>
      </c>
      <c r="AM16" s="107"/>
    </row>
    <row r="17" spans="1:39">
      <c r="A17" s="4" t="s">
        <v>10</v>
      </c>
      <c r="B17" s="4" t="s">
        <v>8</v>
      </c>
      <c r="C17" s="4" t="s">
        <v>114</v>
      </c>
      <c r="D17" s="4" t="s">
        <v>11</v>
      </c>
      <c r="E17" s="101"/>
      <c r="F17" s="106" t="s">
        <v>107</v>
      </c>
      <c r="G17" s="104" t="s">
        <v>16</v>
      </c>
      <c r="H17" s="104" t="s">
        <v>16</v>
      </c>
      <c r="I17" s="104" t="s">
        <v>16</v>
      </c>
      <c r="J17" s="104" t="s">
        <v>16</v>
      </c>
      <c r="K17" s="104" t="s">
        <v>16</v>
      </c>
      <c r="L17" s="108" t="s">
        <v>12</v>
      </c>
      <c r="M17" s="108" t="s">
        <v>12</v>
      </c>
      <c r="N17" s="108" t="s">
        <v>12</v>
      </c>
      <c r="O17" s="108" t="s">
        <v>12</v>
      </c>
      <c r="P17" s="108" t="s">
        <v>12</v>
      </c>
      <c r="Q17" s="108" t="s">
        <v>12</v>
      </c>
      <c r="R17" s="104" t="s">
        <v>16</v>
      </c>
      <c r="S17" s="104" t="s">
        <v>16</v>
      </c>
      <c r="T17" s="104" t="s">
        <v>16</v>
      </c>
      <c r="U17" s="104" t="s">
        <v>16</v>
      </c>
      <c r="V17" s="104" t="s">
        <v>16</v>
      </c>
      <c r="W17" s="104" t="s">
        <v>16</v>
      </c>
      <c r="X17" s="104" t="s">
        <v>16</v>
      </c>
      <c r="Y17" s="104" t="s">
        <v>16</v>
      </c>
      <c r="Z17" s="104" t="s">
        <v>16</v>
      </c>
      <c r="AA17" s="104" t="s">
        <v>16</v>
      </c>
      <c r="AB17" s="104" t="s">
        <v>16</v>
      </c>
      <c r="AC17" s="104" t="s">
        <v>16</v>
      </c>
      <c r="AD17" s="104" t="s">
        <v>16</v>
      </c>
      <c r="AE17" s="104" t="s">
        <v>16</v>
      </c>
      <c r="AF17" s="104" t="s">
        <v>16</v>
      </c>
      <c r="AG17" s="104" t="s">
        <v>16</v>
      </c>
      <c r="AH17" s="104" t="s">
        <v>16</v>
      </c>
      <c r="AI17" s="104" t="s">
        <v>16</v>
      </c>
      <c r="AJ17" s="104" t="s">
        <v>16</v>
      </c>
      <c r="AK17" s="104" t="s">
        <v>16</v>
      </c>
      <c r="AL17" s="107">
        <v>6</v>
      </c>
      <c r="AM17" s="107"/>
    </row>
    <row r="18" spans="1:39">
      <c r="A18" s="4" t="s">
        <v>10</v>
      </c>
      <c r="B18" s="4" t="s">
        <v>8</v>
      </c>
      <c r="C18" s="4" t="s">
        <v>114</v>
      </c>
      <c r="D18" s="4" t="s">
        <v>11</v>
      </c>
      <c r="E18" s="101"/>
      <c r="F18" s="106" t="s">
        <v>115</v>
      </c>
      <c r="G18" s="104" t="s">
        <v>16</v>
      </c>
      <c r="H18" s="104" t="s">
        <v>16</v>
      </c>
      <c r="I18" s="104" t="s">
        <v>16</v>
      </c>
      <c r="J18" s="104" t="s">
        <v>16</v>
      </c>
      <c r="K18" s="104" t="s">
        <v>16</v>
      </c>
      <c r="L18" s="108" t="s">
        <v>12</v>
      </c>
      <c r="M18" s="108" t="s">
        <v>12</v>
      </c>
      <c r="N18" s="108" t="s">
        <v>12</v>
      </c>
      <c r="O18" s="108" t="s">
        <v>12</v>
      </c>
      <c r="P18" s="108" t="s">
        <v>12</v>
      </c>
      <c r="Q18" s="108" t="s">
        <v>12</v>
      </c>
      <c r="R18" s="108" t="s">
        <v>12</v>
      </c>
      <c r="S18" s="108" t="s">
        <v>12</v>
      </c>
      <c r="T18" s="108" t="s">
        <v>12</v>
      </c>
      <c r="U18" s="108" t="s">
        <v>12</v>
      </c>
      <c r="V18" s="108" t="s">
        <v>12</v>
      </c>
      <c r="W18" s="108" t="s">
        <v>12</v>
      </c>
      <c r="X18" s="108" t="s">
        <v>12</v>
      </c>
      <c r="Y18" s="108" t="s">
        <v>12</v>
      </c>
      <c r="Z18" s="108" t="s">
        <v>12</v>
      </c>
      <c r="AA18" s="108" t="s">
        <v>12</v>
      </c>
      <c r="AB18" s="108" t="s">
        <v>12</v>
      </c>
      <c r="AC18" s="104" t="s">
        <v>16</v>
      </c>
      <c r="AD18" s="104" t="s">
        <v>16</v>
      </c>
      <c r="AE18" s="104" t="s">
        <v>16</v>
      </c>
      <c r="AF18" s="104" t="s">
        <v>16</v>
      </c>
      <c r="AG18" s="104" t="s">
        <v>16</v>
      </c>
      <c r="AH18" s="104" t="s">
        <v>16</v>
      </c>
      <c r="AI18" s="104" t="s">
        <v>16</v>
      </c>
      <c r="AJ18" s="104" t="s">
        <v>16</v>
      </c>
      <c r="AK18" s="104" t="s">
        <v>16</v>
      </c>
      <c r="AL18" s="107">
        <v>17</v>
      </c>
      <c r="AM18" s="107"/>
    </row>
    <row r="19" spans="1:39">
      <c r="A19" s="4" t="s">
        <v>10</v>
      </c>
      <c r="B19" s="4" t="s">
        <v>8</v>
      </c>
      <c r="C19" s="4" t="s">
        <v>114</v>
      </c>
      <c r="D19" s="4" t="s">
        <v>11</v>
      </c>
      <c r="E19" s="101"/>
      <c r="F19" s="106" t="s">
        <v>118</v>
      </c>
      <c r="G19" s="104" t="s">
        <v>16</v>
      </c>
      <c r="H19" s="104" t="s">
        <v>16</v>
      </c>
      <c r="I19" s="104" t="s">
        <v>16</v>
      </c>
      <c r="J19" s="104" t="s">
        <v>16</v>
      </c>
      <c r="K19" s="104" t="s">
        <v>16</v>
      </c>
      <c r="L19" s="104" t="s">
        <v>16</v>
      </c>
      <c r="M19" s="104" t="s">
        <v>16</v>
      </c>
      <c r="N19" s="104" t="s">
        <v>16</v>
      </c>
      <c r="O19" s="108" t="s">
        <v>12</v>
      </c>
      <c r="P19" s="104" t="s">
        <v>16</v>
      </c>
      <c r="Q19" s="104" t="s">
        <v>16</v>
      </c>
      <c r="R19" s="104" t="s">
        <v>16</v>
      </c>
      <c r="S19" s="107" t="s">
        <v>12</v>
      </c>
      <c r="T19" s="104" t="s">
        <v>16</v>
      </c>
      <c r="U19" s="107" t="s">
        <v>12</v>
      </c>
      <c r="V19" s="104" t="s">
        <v>16</v>
      </c>
      <c r="W19" s="104" t="s">
        <v>16</v>
      </c>
      <c r="X19" s="104" t="s">
        <v>16</v>
      </c>
      <c r="Y19" s="107" t="s">
        <v>12</v>
      </c>
      <c r="Z19" s="104" t="s">
        <v>16</v>
      </c>
      <c r="AA19" s="107" t="s">
        <v>12</v>
      </c>
      <c r="AB19" s="107" t="s">
        <v>12</v>
      </c>
      <c r="AC19" s="107" t="s">
        <v>12</v>
      </c>
      <c r="AD19" s="104" t="s">
        <v>16</v>
      </c>
      <c r="AE19" s="104" t="s">
        <v>16</v>
      </c>
      <c r="AF19" s="104" t="s">
        <v>16</v>
      </c>
      <c r="AG19" s="104" t="s">
        <v>16</v>
      </c>
      <c r="AH19" s="104" t="s">
        <v>16</v>
      </c>
      <c r="AI19" s="104" t="s">
        <v>16</v>
      </c>
      <c r="AJ19" s="104" t="s">
        <v>16</v>
      </c>
      <c r="AK19" s="107" t="s">
        <v>12</v>
      </c>
      <c r="AL19" s="107">
        <v>8</v>
      </c>
      <c r="AM19" s="107"/>
    </row>
    <row r="20" spans="1:39">
      <c r="A20" s="4" t="s">
        <v>10</v>
      </c>
      <c r="B20" s="4" t="s">
        <v>8</v>
      </c>
      <c r="C20" s="4" t="s">
        <v>114</v>
      </c>
      <c r="D20" s="4" t="s">
        <v>11</v>
      </c>
      <c r="E20" s="101"/>
      <c r="F20" s="106" t="s">
        <v>117</v>
      </c>
      <c r="G20" s="104" t="s">
        <v>16</v>
      </c>
      <c r="H20" s="104" t="s">
        <v>16</v>
      </c>
      <c r="I20" s="104" t="s">
        <v>16</v>
      </c>
      <c r="J20" s="104" t="s">
        <v>16</v>
      </c>
      <c r="K20" s="104" t="s">
        <v>16</v>
      </c>
      <c r="L20" s="104" t="s">
        <v>16</v>
      </c>
      <c r="M20" s="104" t="s">
        <v>16</v>
      </c>
      <c r="N20" s="108" t="s">
        <v>12</v>
      </c>
      <c r="O20" s="104" t="s">
        <v>16</v>
      </c>
      <c r="P20" s="104" t="s">
        <v>16</v>
      </c>
      <c r="Q20" s="104" t="s">
        <v>16</v>
      </c>
      <c r="R20" s="107" t="s">
        <v>12</v>
      </c>
      <c r="S20" s="107" t="s">
        <v>12</v>
      </c>
      <c r="T20" s="107" t="s">
        <v>12</v>
      </c>
      <c r="U20" s="104" t="s">
        <v>16</v>
      </c>
      <c r="V20" s="107" t="s">
        <v>12</v>
      </c>
      <c r="W20" s="107" t="s">
        <v>12</v>
      </c>
      <c r="X20" s="107" t="s">
        <v>12</v>
      </c>
      <c r="Y20" s="107" t="s">
        <v>12</v>
      </c>
      <c r="Z20" s="107" t="s">
        <v>12</v>
      </c>
      <c r="AA20" s="104" t="s">
        <v>16</v>
      </c>
      <c r="AB20" s="104" t="s">
        <v>16</v>
      </c>
      <c r="AC20" s="104" t="s">
        <v>16</v>
      </c>
      <c r="AD20" s="104" t="s">
        <v>16</v>
      </c>
      <c r="AE20" s="104" t="s">
        <v>16</v>
      </c>
      <c r="AF20" s="104" t="s">
        <v>16</v>
      </c>
      <c r="AG20" s="104" t="s">
        <v>16</v>
      </c>
      <c r="AH20" s="104" t="s">
        <v>16</v>
      </c>
      <c r="AI20" s="104" t="s">
        <v>16</v>
      </c>
      <c r="AJ20" s="104" t="s">
        <v>16</v>
      </c>
      <c r="AK20" s="104" t="s">
        <v>16</v>
      </c>
      <c r="AL20" s="107">
        <v>9</v>
      </c>
      <c r="AM20" s="107"/>
    </row>
    <row r="21" spans="1:39">
      <c r="A21" s="4" t="s">
        <v>10</v>
      </c>
      <c r="B21" s="4" t="s">
        <v>8</v>
      </c>
      <c r="C21" s="4" t="s">
        <v>114</v>
      </c>
      <c r="D21" s="4" t="s">
        <v>11</v>
      </c>
      <c r="E21" s="101"/>
      <c r="F21" s="108" t="s">
        <v>101</v>
      </c>
      <c r="G21" s="104" t="s">
        <v>16</v>
      </c>
      <c r="H21" s="104" t="s">
        <v>16</v>
      </c>
      <c r="I21" s="104" t="s">
        <v>16</v>
      </c>
      <c r="J21" s="104" t="s">
        <v>16</v>
      </c>
      <c r="K21" s="104" t="s">
        <v>16</v>
      </c>
      <c r="L21" s="104" t="s">
        <v>16</v>
      </c>
      <c r="M21" s="104" t="s">
        <v>16</v>
      </c>
      <c r="N21" s="104" t="s">
        <v>16</v>
      </c>
      <c r="O21" s="104" t="s">
        <v>16</v>
      </c>
      <c r="P21" s="104" t="s">
        <v>16</v>
      </c>
      <c r="Q21" s="104" t="s">
        <v>16</v>
      </c>
      <c r="R21" s="107" t="s">
        <v>12</v>
      </c>
      <c r="S21" s="107" t="s">
        <v>12</v>
      </c>
      <c r="T21" s="104" t="s">
        <v>16</v>
      </c>
      <c r="U21" s="104" t="s">
        <v>16</v>
      </c>
      <c r="V21" s="104" t="s">
        <v>16</v>
      </c>
      <c r="W21" s="104" t="s">
        <v>16</v>
      </c>
      <c r="X21" s="104" t="s">
        <v>16</v>
      </c>
      <c r="Y21" s="107" t="s">
        <v>12</v>
      </c>
      <c r="Z21" s="104" t="s">
        <v>16</v>
      </c>
      <c r="AA21" s="104" t="s">
        <v>16</v>
      </c>
      <c r="AB21" s="104" t="s">
        <v>16</v>
      </c>
      <c r="AC21" s="107" t="s">
        <v>12</v>
      </c>
      <c r="AD21" s="107" t="s">
        <v>12</v>
      </c>
      <c r="AE21" s="107" t="s">
        <v>12</v>
      </c>
      <c r="AF21" s="107" t="s">
        <v>12</v>
      </c>
      <c r="AG21" s="107" t="s">
        <v>12</v>
      </c>
      <c r="AH21" s="107" t="s">
        <v>12</v>
      </c>
      <c r="AI21" s="107" t="s">
        <v>12</v>
      </c>
      <c r="AJ21" s="107"/>
      <c r="AK21" s="107"/>
      <c r="AL21" s="107">
        <v>10</v>
      </c>
      <c r="AM21" s="107"/>
    </row>
    <row r="22" spans="1:39">
      <c r="AL22" s="112">
        <f>SUM(AL17:AL21)</f>
        <v>50</v>
      </c>
    </row>
    <row r="23" spans="1:39">
      <c r="AL23" s="112">
        <f>AL6+AL8+AL10+AL12+AL16+AL22</f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2"/>
  <sheetViews>
    <sheetView topLeftCell="A22" workbookViewId="0">
      <selection activeCell="BT43" sqref="BT43"/>
    </sheetView>
  </sheetViews>
  <sheetFormatPr defaultRowHeight="13.5"/>
  <cols>
    <col min="1" max="1" width="3.3125" bestFit="1" customWidth="1"/>
    <col min="2" max="2" width="5.4375" bestFit="1" customWidth="1"/>
    <col min="3" max="3" width="10.4375" bestFit="1" customWidth="1"/>
    <col min="4" max="4" width="6" bestFit="1" customWidth="1"/>
    <col min="5" max="5" width="24.3125" bestFit="1" customWidth="1"/>
    <col min="6" max="6" width="5.4375" bestFit="1" customWidth="1"/>
    <col min="7" max="7" width="8.4375" bestFit="1" customWidth="1"/>
    <col min="8" max="8" width="24.3125" bestFit="1" customWidth="1"/>
    <col min="9" max="9" width="5.5625" bestFit="1" customWidth="1"/>
    <col min="10" max="10" width="6.4375" bestFit="1" customWidth="1"/>
    <col min="11" max="11" width="30" bestFit="1" customWidth="1"/>
    <col min="12" max="12" width="8.3125" bestFit="1" customWidth="1"/>
    <col min="13" max="14" width="8.125" bestFit="1" customWidth="1"/>
    <col min="15" max="15" width="5.5625" bestFit="1" customWidth="1"/>
    <col min="16" max="16" width="3.3125" bestFit="1" customWidth="1"/>
    <col min="17" max="17" width="6.125" bestFit="1" customWidth="1"/>
    <col min="18" max="18" width="10.5625" bestFit="1" customWidth="1"/>
    <col min="19" max="21" width="7.5625" bestFit="1" customWidth="1"/>
    <col min="22" max="22" width="6.4375" bestFit="1" customWidth="1"/>
    <col min="23" max="23" width="8.125" bestFit="1" customWidth="1"/>
    <col min="24" max="24" width="7.875" bestFit="1" customWidth="1"/>
    <col min="25" max="25" width="3.3125" bestFit="1" customWidth="1"/>
    <col min="26" max="26" width="7.6875" bestFit="1" customWidth="1"/>
    <col min="27" max="27" width="4.3125" bestFit="1" customWidth="1"/>
    <col min="28" max="28" width="4" bestFit="1" customWidth="1"/>
    <col min="29" max="29" width="6" bestFit="1" customWidth="1"/>
    <col min="30" max="30" width="6.6875" bestFit="1" customWidth="1"/>
    <col min="31" max="31" width="6.125" bestFit="1" customWidth="1"/>
    <col min="32" max="32" width="5.6875" bestFit="1" customWidth="1"/>
    <col min="33" max="33" width="4.4375" bestFit="1" customWidth="1"/>
    <col min="34" max="34" width="6.4375" bestFit="1" customWidth="1"/>
    <col min="35" max="35" width="10.4375" bestFit="1" customWidth="1"/>
    <col min="36" max="36" width="9" bestFit="1" customWidth="1"/>
    <col min="37" max="37" width="8.125" bestFit="1" customWidth="1"/>
    <col min="38" max="38" width="7.6875" bestFit="1" customWidth="1"/>
    <col min="39" max="39" width="12.125" bestFit="1" customWidth="1"/>
    <col min="40" max="40" width="7" bestFit="1" customWidth="1"/>
    <col min="41" max="41" width="4.5625" bestFit="1" customWidth="1"/>
    <col min="42" max="42" width="9" bestFit="1" customWidth="1"/>
    <col min="43" max="43" width="12.875" bestFit="1" customWidth="1"/>
    <col min="44" max="44" width="7.6875" bestFit="1" customWidth="1"/>
    <col min="45" max="45" width="6.875" bestFit="1" customWidth="1"/>
    <col min="46" max="46" width="7.4375" bestFit="1" customWidth="1"/>
    <col min="47" max="47" width="5" bestFit="1" customWidth="1"/>
    <col min="48" max="48" width="4.5625" bestFit="1" customWidth="1"/>
    <col min="49" max="49" width="4.4375" bestFit="1" customWidth="1"/>
    <col min="50" max="50" width="8.6875" bestFit="1" customWidth="1"/>
    <col min="51" max="51" width="10.4375" bestFit="1" customWidth="1"/>
    <col min="52" max="52" width="5.3125" bestFit="1" customWidth="1"/>
    <col min="53" max="53" width="5.125" bestFit="1" customWidth="1"/>
    <col min="54" max="54" width="7.3125" bestFit="1" customWidth="1"/>
    <col min="55" max="55" width="5.875" bestFit="1" customWidth="1"/>
    <col min="56" max="56" width="10" bestFit="1" customWidth="1"/>
    <col min="57" max="57" width="7.6875" bestFit="1" customWidth="1"/>
    <col min="58" max="58" width="6.875" bestFit="1" customWidth="1"/>
    <col min="59" max="59" width="6.4375" bestFit="1" customWidth="1"/>
    <col min="60" max="60" width="6.875" bestFit="1" customWidth="1"/>
    <col min="61" max="61" width="5.4375" bestFit="1" customWidth="1"/>
    <col min="62" max="62" width="7.3125" bestFit="1" customWidth="1"/>
    <col min="63" max="63" width="6.6875" bestFit="1" customWidth="1"/>
    <col min="64" max="64" width="7.3125" bestFit="1" customWidth="1"/>
    <col min="65" max="65" width="7.6875" bestFit="1" customWidth="1"/>
    <col min="66" max="66" width="16.875" bestFit="1" customWidth="1"/>
    <col min="67" max="69" width="6.875" bestFit="1" customWidth="1"/>
    <col min="70" max="70" width="4.4375" bestFit="1" customWidth="1"/>
    <col min="71" max="71" width="5.5625" bestFit="1" customWidth="1"/>
    <col min="72" max="72" width="9.875" bestFit="1" customWidth="1"/>
    <col min="73" max="73" width="8.9375" bestFit="1" customWidth="1"/>
    <col min="74" max="74" width="7.6875" bestFit="1" customWidth="1"/>
    <col min="75" max="75" width="5.875" bestFit="1" customWidth="1"/>
    <col min="76" max="76" width="12" customWidth="1"/>
    <col min="77" max="77" width="6.875" bestFit="1" customWidth="1"/>
    <col min="78" max="80" width="8.125" bestFit="1" customWidth="1"/>
    <col min="81" max="81" width="6.875" bestFit="1" customWidth="1"/>
  </cols>
  <sheetData>
    <row r="1" spans="1:81" s="35" customFormat="1" ht="45" customHeight="1" thickBot="1">
      <c r="J1" s="36"/>
      <c r="K1" s="37"/>
      <c r="X1" s="36"/>
      <c r="Z1" s="38"/>
      <c r="AE1" s="35">
        <v>26</v>
      </c>
      <c r="AF1" s="39"/>
      <c r="AJ1" s="115" t="s">
        <v>96</v>
      </c>
      <c r="AK1" s="116"/>
      <c r="AL1" s="116"/>
      <c r="AM1" s="116"/>
      <c r="AN1" s="116"/>
      <c r="AO1" s="116"/>
      <c r="AP1" s="117"/>
      <c r="AQ1" s="40" t="s">
        <v>97</v>
      </c>
      <c r="AR1" s="41"/>
      <c r="AS1" s="41"/>
      <c r="AT1" s="41"/>
      <c r="AU1" s="41">
        <v>175</v>
      </c>
      <c r="AV1" s="41">
        <v>761</v>
      </c>
      <c r="AW1" s="41"/>
      <c r="AX1" s="41"/>
      <c r="AY1" s="41"/>
      <c r="AZ1" s="41"/>
      <c r="BA1" s="41"/>
      <c r="BB1" s="41"/>
      <c r="BC1" s="41"/>
      <c r="BD1" s="41"/>
      <c r="BE1" s="42"/>
      <c r="BF1" s="118" t="s">
        <v>98</v>
      </c>
      <c r="BG1" s="119"/>
      <c r="BH1" s="119"/>
      <c r="BI1" s="119"/>
      <c r="BJ1" s="119"/>
      <c r="BK1" s="120"/>
      <c r="BL1" s="121"/>
      <c r="BN1" s="40" t="s">
        <v>99</v>
      </c>
      <c r="BO1" s="41"/>
      <c r="BP1" s="41"/>
      <c r="BQ1" s="41">
        <v>350</v>
      </c>
      <c r="BR1" s="41"/>
      <c r="BS1" s="41"/>
      <c r="BT1" s="41"/>
      <c r="BU1" s="41"/>
      <c r="BV1" s="41"/>
      <c r="BW1" s="42"/>
    </row>
    <row r="2" spans="1:81" s="20" customFormat="1" ht="46.9" thickBot="1">
      <c r="A2" s="6" t="s">
        <v>21</v>
      </c>
      <c r="B2" s="7" t="s">
        <v>0</v>
      </c>
      <c r="C2" s="7" t="s">
        <v>22</v>
      </c>
      <c r="D2" s="7" t="s">
        <v>23</v>
      </c>
      <c r="E2" s="8" t="s">
        <v>100</v>
      </c>
      <c r="F2" s="9" t="s">
        <v>24</v>
      </c>
      <c r="G2" s="9" t="s">
        <v>25</v>
      </c>
      <c r="H2" s="9" t="s">
        <v>26</v>
      </c>
      <c r="I2" s="9" t="s">
        <v>27</v>
      </c>
      <c r="J2" s="10" t="s">
        <v>28</v>
      </c>
      <c r="K2" s="11" t="s">
        <v>29</v>
      </c>
      <c r="L2" s="9" t="s">
        <v>30</v>
      </c>
      <c r="M2" s="9" t="s">
        <v>31</v>
      </c>
      <c r="N2" s="9" t="s">
        <v>32</v>
      </c>
      <c r="O2" s="9" t="s">
        <v>33</v>
      </c>
      <c r="P2" s="9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9" t="s">
        <v>40</v>
      </c>
      <c r="W2" s="9" t="s">
        <v>41</v>
      </c>
      <c r="X2" s="12" t="s">
        <v>42</v>
      </c>
      <c r="Y2" s="9" t="s">
        <v>43</v>
      </c>
      <c r="Z2" s="11" t="s">
        <v>44</v>
      </c>
      <c r="AA2" s="9" t="s">
        <v>45</v>
      </c>
      <c r="AB2" s="9" t="s">
        <v>46</v>
      </c>
      <c r="AC2" s="9" t="s">
        <v>47</v>
      </c>
      <c r="AD2" s="9" t="s">
        <v>48</v>
      </c>
      <c r="AE2" s="9" t="s">
        <v>49</v>
      </c>
      <c r="AF2" s="13" t="s">
        <v>50</v>
      </c>
      <c r="AG2" s="9" t="s">
        <v>51</v>
      </c>
      <c r="AH2" s="9" t="s">
        <v>52</v>
      </c>
      <c r="AI2" s="9" t="s">
        <v>53</v>
      </c>
      <c r="AJ2" s="14" t="s">
        <v>54</v>
      </c>
      <c r="AK2" s="14" t="s">
        <v>55</v>
      </c>
      <c r="AL2" s="14" t="s">
        <v>56</v>
      </c>
      <c r="AM2" s="14" t="s">
        <v>57</v>
      </c>
      <c r="AN2" s="14" t="s">
        <v>58</v>
      </c>
      <c r="AO2" s="14" t="s">
        <v>59</v>
      </c>
      <c r="AP2" s="9" t="s">
        <v>60</v>
      </c>
      <c r="AQ2" s="14" t="s">
        <v>54</v>
      </c>
      <c r="AR2" s="14" t="s">
        <v>61</v>
      </c>
      <c r="AS2" s="14" t="s">
        <v>56</v>
      </c>
      <c r="AT2" s="14" t="s">
        <v>62</v>
      </c>
      <c r="AU2" s="9" t="s">
        <v>63</v>
      </c>
      <c r="AV2" s="9" t="s">
        <v>59</v>
      </c>
      <c r="AW2" s="9" t="s">
        <v>64</v>
      </c>
      <c r="AX2" s="15" t="s">
        <v>65</v>
      </c>
      <c r="AY2" s="16" t="s">
        <v>66</v>
      </c>
      <c r="AZ2" s="9" t="s">
        <v>67</v>
      </c>
      <c r="BA2" s="9" t="s">
        <v>68</v>
      </c>
      <c r="BB2" s="9" t="s">
        <v>69</v>
      </c>
      <c r="BC2" s="17" t="s">
        <v>70</v>
      </c>
      <c r="BD2" s="9" t="s">
        <v>71</v>
      </c>
      <c r="BE2" s="9" t="s">
        <v>60</v>
      </c>
      <c r="BF2" s="9" t="s">
        <v>72</v>
      </c>
      <c r="BG2" s="9" t="s">
        <v>73</v>
      </c>
      <c r="BH2" s="9" t="s">
        <v>74</v>
      </c>
      <c r="BI2" s="9" t="s">
        <v>75</v>
      </c>
      <c r="BJ2" s="18" t="s">
        <v>76</v>
      </c>
      <c r="BK2" s="9" t="s">
        <v>77</v>
      </c>
      <c r="BL2" s="9" t="s">
        <v>78</v>
      </c>
      <c r="BM2" s="9" t="s">
        <v>79</v>
      </c>
      <c r="BN2" s="9" t="s">
        <v>80</v>
      </c>
      <c r="BO2" s="9" t="s">
        <v>81</v>
      </c>
      <c r="BP2" s="9" t="s">
        <v>59</v>
      </c>
      <c r="BQ2" s="14" t="s">
        <v>82</v>
      </c>
      <c r="BR2" s="9" t="s">
        <v>83</v>
      </c>
      <c r="BS2" s="9" t="s">
        <v>84</v>
      </c>
      <c r="BT2" s="9" t="s">
        <v>85</v>
      </c>
      <c r="BU2" s="9" t="s">
        <v>86</v>
      </c>
      <c r="BV2" s="19" t="s">
        <v>87</v>
      </c>
      <c r="BW2" s="9" t="s">
        <v>88</v>
      </c>
      <c r="BX2" s="9" t="s">
        <v>89</v>
      </c>
      <c r="BY2" s="9" t="s">
        <v>90</v>
      </c>
      <c r="BZ2" s="14" t="s">
        <v>91</v>
      </c>
      <c r="CA2" s="9" t="s">
        <v>92</v>
      </c>
      <c r="CB2" s="9"/>
    </row>
    <row r="3" spans="1:81" s="62" customFormat="1" ht="11.65">
      <c r="A3" s="43"/>
      <c r="B3" s="44"/>
      <c r="C3" s="45"/>
      <c r="D3" s="45"/>
      <c r="E3" s="46"/>
      <c r="F3" s="21"/>
      <c r="G3" s="30"/>
      <c r="H3" s="22"/>
      <c r="I3" s="47"/>
      <c r="J3" s="48"/>
      <c r="K3" s="49"/>
      <c r="L3" s="47"/>
      <c r="M3" s="47"/>
      <c r="N3" s="47"/>
      <c r="O3" s="22"/>
      <c r="P3" s="50"/>
      <c r="Q3" s="51"/>
      <c r="R3" s="52"/>
      <c r="S3" s="53"/>
      <c r="T3" s="54"/>
      <c r="U3" s="54"/>
      <c r="V3" s="22"/>
      <c r="W3" s="22"/>
      <c r="X3" s="55"/>
      <c r="Y3" s="22"/>
      <c r="Z3" s="49"/>
      <c r="AA3" s="24"/>
      <c r="AB3" s="24"/>
      <c r="AC3" s="56"/>
      <c r="AD3" s="26"/>
      <c r="AE3" s="57"/>
      <c r="AF3" s="58"/>
      <c r="AG3" s="28"/>
      <c r="AH3" s="28"/>
      <c r="AI3" s="28"/>
      <c r="AJ3" s="30"/>
      <c r="AK3" s="30"/>
      <c r="AL3" s="31"/>
      <c r="AM3" s="31"/>
      <c r="AN3" s="31"/>
      <c r="AO3" s="31"/>
      <c r="AP3" s="56"/>
      <c r="AQ3" s="56"/>
      <c r="AR3" s="56"/>
      <c r="AS3" s="56"/>
      <c r="AT3" s="56"/>
      <c r="AU3" s="56"/>
      <c r="AV3" s="59"/>
      <c r="AW3" s="59"/>
      <c r="AX3" s="59"/>
      <c r="AY3" s="59"/>
      <c r="AZ3" s="59"/>
      <c r="BA3" s="59"/>
      <c r="BB3" s="59"/>
      <c r="BC3" s="60"/>
      <c r="BD3" s="59"/>
      <c r="BE3" s="56"/>
      <c r="BF3" s="56"/>
      <c r="BG3" s="56"/>
      <c r="BH3" s="31"/>
      <c r="BI3" s="56"/>
      <c r="BJ3" s="59"/>
      <c r="BK3" s="56"/>
      <c r="BL3" s="56"/>
      <c r="BM3" s="56"/>
      <c r="BN3" s="56"/>
      <c r="BO3" s="56"/>
      <c r="BP3" s="56"/>
      <c r="BQ3" s="22"/>
      <c r="BR3" s="56"/>
      <c r="BS3" s="56"/>
      <c r="BT3" s="31"/>
      <c r="BU3" s="56"/>
      <c r="BV3" s="56"/>
      <c r="BW3" s="56"/>
      <c r="BX3" s="56"/>
      <c r="BY3" s="61"/>
      <c r="BZ3" s="61"/>
      <c r="CA3" s="61"/>
      <c r="CB3" s="56"/>
    </row>
    <row r="4" spans="1:81" ht="13.9" thickBot="1"/>
    <row r="5" spans="1:81" ht="13.9" thickBot="1">
      <c r="A5" s="63">
        <f t="shared" ref="A5" si="0">A4+1</f>
        <v>1</v>
      </c>
      <c r="B5" s="64" t="s">
        <v>10</v>
      </c>
      <c r="C5" s="65" t="s">
        <v>93</v>
      </c>
      <c r="D5" s="65" t="s">
        <v>94</v>
      </c>
      <c r="E5" s="4" t="s">
        <v>18</v>
      </c>
      <c r="F5" s="21"/>
      <c r="G5" s="21"/>
      <c r="H5" s="4" t="s">
        <v>18</v>
      </c>
      <c r="I5" s="22"/>
      <c r="J5" s="66"/>
      <c r="K5" s="103" t="s">
        <v>20</v>
      </c>
      <c r="L5" s="22"/>
      <c r="M5" s="22"/>
      <c r="N5" s="22"/>
      <c r="O5" s="22"/>
      <c r="P5" s="50"/>
      <c r="Q5" s="51"/>
      <c r="R5" s="68"/>
      <c r="S5" s="53"/>
      <c r="T5" s="54"/>
      <c r="U5" s="54"/>
      <c r="V5" s="22"/>
      <c r="W5" s="69"/>
      <c r="X5" s="22"/>
      <c r="Y5" s="22"/>
      <c r="Z5" s="23" t="s">
        <v>95</v>
      </c>
      <c r="AA5" s="24"/>
      <c r="AB5" s="24"/>
      <c r="AC5" s="25"/>
      <c r="AD5" s="26"/>
      <c r="AE5" s="27">
        <v>45962</v>
      </c>
      <c r="AF5" s="25">
        <v>27</v>
      </c>
      <c r="AG5" s="28"/>
      <c r="AH5" s="29"/>
      <c r="AI5" s="28"/>
      <c r="AJ5" s="30">
        <f>497.5*26</f>
        <v>12935</v>
      </c>
      <c r="AK5" s="30"/>
      <c r="AL5" s="31">
        <v>1028</v>
      </c>
      <c r="AM5" s="32"/>
      <c r="AN5" s="32"/>
      <c r="AO5" s="32"/>
      <c r="AP5" s="25">
        <f t="shared" ref="AP5" si="1">SUM(AJ5:AM5)</f>
        <v>13963</v>
      </c>
      <c r="AQ5" s="25">
        <f t="shared" ref="AQ5:AQ6" si="2">ROUNDUP(AJ5/$AE$1*(AF5+AH5),0)</f>
        <v>13433</v>
      </c>
      <c r="AR5" s="25">
        <f t="shared" ref="AR5:AR6" si="3">ROUNDUP(AK5/$AE$1*(AF5+AH5),0)</f>
        <v>0</v>
      </c>
      <c r="AS5" s="25">
        <f t="shared" ref="AS5:AS6" si="4">ROUNDUP(AL5/$AE$1*(AF5+AH5),0)</f>
        <v>1068</v>
      </c>
      <c r="AT5" s="25">
        <f t="shared" ref="AT5:AT6" si="5">ROUNDUP(AM5/$AE$1*(AF5+AH5),0)</f>
        <v>0</v>
      </c>
      <c r="AU5" s="25"/>
      <c r="AV5" s="25">
        <f t="shared" ref="AV5:AV6" si="6">W5*8.33%</f>
        <v>0</v>
      </c>
      <c r="AW5" s="25"/>
      <c r="AX5" s="25"/>
      <c r="AY5" s="25"/>
      <c r="AZ5" s="25"/>
      <c r="BA5" s="25"/>
      <c r="BB5" s="25"/>
      <c r="BC5" s="25"/>
      <c r="BD5" s="25"/>
      <c r="BE5" s="25">
        <f t="shared" ref="BE5:BE6" si="7">SUM(AQ5:BD5)</f>
        <v>14501</v>
      </c>
      <c r="BF5" s="25">
        <f t="shared" ref="BF5:BF6" si="8">ROUNDUP(IF((AQ5+AT5)&gt;=15000,1800,IF((AQ5+AT5)&lt;=14999,((AQ5+AT5)*12%))),0)</f>
        <v>1612</v>
      </c>
      <c r="BG5" s="25">
        <f t="shared" ref="BG5:BG6" si="9">ROUNDUP(((BE5-AZ5-AW5)*0.75%),0)</f>
        <v>109</v>
      </c>
      <c r="BH5" s="32">
        <f t="shared" ref="BH5" si="10">IF(AP5&gt;11999,200)</f>
        <v>200</v>
      </c>
      <c r="BI5" s="25"/>
      <c r="BJ5" s="25"/>
      <c r="BK5" s="25">
        <f t="shared" ref="BK5:BK6" si="11">ROUNDUP((AI5)*AP5/$AE$1,0)</f>
        <v>0</v>
      </c>
      <c r="BL5" s="25">
        <f t="shared" ref="BL5:BL6" si="12">SUM(BF5:BK5)</f>
        <v>1921</v>
      </c>
      <c r="BM5" s="25">
        <f t="shared" ref="BM5:BM6" si="13">MAX(0,ROUNDUP(BE5-BL5,0))</f>
        <v>12580</v>
      </c>
      <c r="BN5" s="25">
        <f t="shared" ref="BN5:BN6" si="14">ROUNDUP(IF((AQ5+AT5)&gt;=15000,1950,IF((AQ5+AT5)&lt;=14999,((AQ5+AT5)*13%))),0)</f>
        <v>1747</v>
      </c>
      <c r="BO5" s="25">
        <f t="shared" ref="BO5:BO6" si="15">ROUNDUP(((BE5-AZ5-AW5)*3.25%),0)</f>
        <v>472</v>
      </c>
      <c r="BP5" s="25">
        <f t="shared" ref="BP5:BP6" si="16">AQ5*8.33%</f>
        <v>1118.9689000000001</v>
      </c>
      <c r="BQ5" s="22">
        <f t="shared" ref="BQ5:BQ6" si="17">ROUNDUP($BQ$1/$AE$1*AF5,0)</f>
        <v>364</v>
      </c>
      <c r="BR5" s="25"/>
      <c r="BS5" s="25"/>
      <c r="BT5" s="32">
        <f t="shared" ref="BT5:BT6" si="18">ROUNDUP(SUM(AQ5:BD5)*10%+SUM(BN5:BR5)*10%,0)</f>
        <v>1821</v>
      </c>
      <c r="BU5" s="25">
        <f t="shared" ref="BU5:BU6" si="19">BE5+SUM(BN5:BT5)</f>
        <v>20023.9689</v>
      </c>
      <c r="BV5" s="25">
        <f t="shared" ref="BV5:BV6" si="20">BU5*18%</f>
        <v>3604.314402</v>
      </c>
      <c r="BW5" s="25">
        <f t="shared" ref="BW5:BW6" si="21">BJ5</f>
        <v>0</v>
      </c>
      <c r="BX5" s="25">
        <f t="shared" ref="BX5:BX6" si="22">BU5+BV5</f>
        <v>23628.283302</v>
      </c>
      <c r="BY5" s="33"/>
      <c r="BZ5" s="33"/>
      <c r="CA5" s="33"/>
      <c r="CB5" s="25">
        <f t="shared" ref="CB5:CB6" si="23">BX5-BV5-BT5</f>
        <v>18202.9689</v>
      </c>
      <c r="CC5" s="34">
        <f t="shared" ref="CC5:CC6" si="24">BU5+BT5</f>
        <v>21844.9689</v>
      </c>
    </row>
    <row r="6" spans="1:81" ht="13.9" thickBot="1">
      <c r="A6" s="63"/>
      <c r="B6" s="64"/>
      <c r="C6" s="65"/>
      <c r="D6" s="65"/>
      <c r="E6" s="4"/>
      <c r="F6" s="21"/>
      <c r="G6" s="21"/>
      <c r="H6" s="4"/>
      <c r="I6" s="22"/>
      <c r="J6" s="66"/>
      <c r="K6" s="67"/>
      <c r="L6" s="22"/>
      <c r="M6" s="22"/>
      <c r="N6" s="22"/>
      <c r="O6" s="22"/>
      <c r="P6" s="50"/>
      <c r="Q6" s="51"/>
      <c r="R6" s="68"/>
      <c r="S6" s="53"/>
      <c r="T6" s="54"/>
      <c r="U6" s="54"/>
      <c r="V6" s="22"/>
      <c r="W6" s="69"/>
      <c r="X6" s="22"/>
      <c r="Y6" s="22"/>
      <c r="Z6" s="23" t="s">
        <v>95</v>
      </c>
      <c r="AA6" s="24"/>
      <c r="AB6" s="24"/>
      <c r="AC6" s="25"/>
      <c r="AD6" s="26"/>
      <c r="AE6" s="27"/>
      <c r="AF6" s="25"/>
      <c r="AG6" s="28"/>
      <c r="AH6" s="29"/>
      <c r="AI6" s="28"/>
      <c r="AJ6" s="30"/>
      <c r="AK6" s="30"/>
      <c r="AL6" s="31"/>
      <c r="AM6" s="32"/>
      <c r="AN6" s="32"/>
      <c r="AO6" s="32"/>
      <c r="AP6" s="25">
        <f t="shared" ref="AP6" si="25">SUM(AJ6:AM6)</f>
        <v>0</v>
      </c>
      <c r="AQ6" s="25">
        <f t="shared" si="2"/>
        <v>0</v>
      </c>
      <c r="AR6" s="25">
        <f t="shared" si="3"/>
        <v>0</v>
      </c>
      <c r="AS6" s="25">
        <f t="shared" si="4"/>
        <v>0</v>
      </c>
      <c r="AT6" s="25">
        <f t="shared" si="5"/>
        <v>0</v>
      </c>
      <c r="AU6" s="25"/>
      <c r="AV6" s="25">
        <f t="shared" si="6"/>
        <v>0</v>
      </c>
      <c r="AW6" s="25"/>
      <c r="AX6" s="25"/>
      <c r="AY6" s="25"/>
      <c r="AZ6" s="25"/>
      <c r="BA6" s="25"/>
      <c r="BB6" s="25"/>
      <c r="BC6" s="25"/>
      <c r="BD6" s="25"/>
      <c r="BE6" s="25">
        <f t="shared" si="7"/>
        <v>0</v>
      </c>
      <c r="BF6" s="25">
        <f t="shared" si="8"/>
        <v>0</v>
      </c>
      <c r="BG6" s="25">
        <f t="shared" si="9"/>
        <v>0</v>
      </c>
      <c r="BH6" s="32"/>
      <c r="BI6" s="25"/>
      <c r="BJ6" s="25"/>
      <c r="BK6" s="25">
        <f t="shared" si="11"/>
        <v>0</v>
      </c>
      <c r="BL6" s="25">
        <f t="shared" si="12"/>
        <v>0</v>
      </c>
      <c r="BM6" s="25">
        <f t="shared" si="13"/>
        <v>0</v>
      </c>
      <c r="BN6" s="25">
        <f t="shared" si="14"/>
        <v>0</v>
      </c>
      <c r="BO6" s="25">
        <f t="shared" si="15"/>
        <v>0</v>
      </c>
      <c r="BP6" s="25">
        <f t="shared" si="16"/>
        <v>0</v>
      </c>
      <c r="BQ6" s="22">
        <f t="shared" si="17"/>
        <v>0</v>
      </c>
      <c r="BR6" s="25"/>
      <c r="BS6" s="25"/>
      <c r="BT6" s="32">
        <f t="shared" si="18"/>
        <v>0</v>
      </c>
      <c r="BU6" s="25">
        <f t="shared" si="19"/>
        <v>0</v>
      </c>
      <c r="BV6" s="25">
        <f t="shared" si="20"/>
        <v>0</v>
      </c>
      <c r="BW6" s="25">
        <f t="shared" si="21"/>
        <v>0</v>
      </c>
      <c r="BX6" s="25">
        <f t="shared" si="22"/>
        <v>0</v>
      </c>
      <c r="BY6" s="33"/>
      <c r="BZ6" s="33"/>
      <c r="CA6" s="33"/>
      <c r="CB6" s="25">
        <f t="shared" si="23"/>
        <v>0</v>
      </c>
      <c r="CC6" s="34">
        <f t="shared" si="24"/>
        <v>0</v>
      </c>
    </row>
    <row r="7" spans="1:81" ht="13.9" thickBot="1">
      <c r="A7" s="70"/>
      <c r="B7" s="71"/>
      <c r="C7" s="72"/>
      <c r="D7" s="72"/>
      <c r="E7" s="72"/>
      <c r="F7" s="73"/>
      <c r="G7" s="73"/>
      <c r="H7" s="74"/>
      <c r="I7" s="74"/>
      <c r="J7" s="22"/>
      <c r="K7" s="74"/>
      <c r="L7" s="74"/>
      <c r="M7" s="74"/>
      <c r="N7" s="74"/>
      <c r="O7" s="74"/>
      <c r="P7" s="75"/>
      <c r="Q7" s="76"/>
      <c r="R7" s="75"/>
      <c r="S7" s="77"/>
      <c r="T7" s="77"/>
      <c r="U7" s="77"/>
      <c r="V7" s="74"/>
      <c r="W7" s="74"/>
      <c r="X7" s="74"/>
      <c r="Y7" s="74"/>
      <c r="Z7" s="74"/>
      <c r="AA7" s="74"/>
      <c r="AB7" s="74"/>
      <c r="AC7" s="78"/>
      <c r="AD7" s="79"/>
      <c r="AE7" s="80"/>
      <c r="AF7" s="81">
        <f>SUM(AF5:AF6)</f>
        <v>27</v>
      </c>
      <c r="AG7" s="81">
        <f t="shared" ref="AG7:CB7" si="26">SUM(AG5:AG6)</f>
        <v>0</v>
      </c>
      <c r="AH7" s="81">
        <f t="shared" si="26"/>
        <v>0</v>
      </c>
      <c r="AI7" s="81">
        <f t="shared" si="26"/>
        <v>0</v>
      </c>
      <c r="AJ7" s="81">
        <f t="shared" si="26"/>
        <v>12935</v>
      </c>
      <c r="AK7" s="81">
        <f t="shared" si="26"/>
        <v>0</v>
      </c>
      <c r="AL7" s="81">
        <f t="shared" si="26"/>
        <v>1028</v>
      </c>
      <c r="AM7" s="81">
        <f t="shared" si="26"/>
        <v>0</v>
      </c>
      <c r="AN7" s="81">
        <f t="shared" si="26"/>
        <v>0</v>
      </c>
      <c r="AO7" s="81">
        <f t="shared" si="26"/>
        <v>0</v>
      </c>
      <c r="AP7" s="81">
        <f t="shared" si="26"/>
        <v>13963</v>
      </c>
      <c r="AQ7" s="81">
        <f t="shared" si="26"/>
        <v>13433</v>
      </c>
      <c r="AR7" s="81">
        <f t="shared" si="26"/>
        <v>0</v>
      </c>
      <c r="AS7" s="81">
        <f t="shared" si="26"/>
        <v>1068</v>
      </c>
      <c r="AT7" s="81">
        <f t="shared" si="26"/>
        <v>0</v>
      </c>
      <c r="AU7" s="81">
        <f t="shared" si="26"/>
        <v>0</v>
      </c>
      <c r="AV7" s="81">
        <f t="shared" si="26"/>
        <v>0</v>
      </c>
      <c r="AW7" s="81">
        <f t="shared" si="26"/>
        <v>0</v>
      </c>
      <c r="AX7" s="81">
        <f t="shared" si="26"/>
        <v>0</v>
      </c>
      <c r="AY7" s="81">
        <f t="shared" si="26"/>
        <v>0</v>
      </c>
      <c r="AZ7" s="81">
        <f t="shared" si="26"/>
        <v>0</v>
      </c>
      <c r="BA7" s="81">
        <f t="shared" si="26"/>
        <v>0</v>
      </c>
      <c r="BB7" s="81">
        <f t="shared" si="26"/>
        <v>0</v>
      </c>
      <c r="BC7" s="81">
        <f t="shared" si="26"/>
        <v>0</v>
      </c>
      <c r="BD7" s="81">
        <f t="shared" si="26"/>
        <v>0</v>
      </c>
      <c r="BE7" s="81">
        <f t="shared" si="26"/>
        <v>14501</v>
      </c>
      <c r="BF7" s="81">
        <f t="shared" si="26"/>
        <v>1612</v>
      </c>
      <c r="BG7" s="81">
        <f t="shared" si="26"/>
        <v>109</v>
      </c>
      <c r="BH7" s="81">
        <f t="shared" si="26"/>
        <v>200</v>
      </c>
      <c r="BI7" s="81">
        <f t="shared" si="26"/>
        <v>0</v>
      </c>
      <c r="BJ7" s="81">
        <f t="shared" si="26"/>
        <v>0</v>
      </c>
      <c r="BK7" s="81">
        <f t="shared" si="26"/>
        <v>0</v>
      </c>
      <c r="BL7" s="81">
        <f t="shared" si="26"/>
        <v>1921</v>
      </c>
      <c r="BM7" s="81">
        <f t="shared" si="26"/>
        <v>12580</v>
      </c>
      <c r="BN7" s="81">
        <f t="shared" si="26"/>
        <v>1747</v>
      </c>
      <c r="BO7" s="81">
        <f t="shared" si="26"/>
        <v>472</v>
      </c>
      <c r="BP7" s="81">
        <f t="shared" si="26"/>
        <v>1118.9689000000001</v>
      </c>
      <c r="BQ7" s="81">
        <f t="shared" si="26"/>
        <v>364</v>
      </c>
      <c r="BR7" s="81">
        <f t="shared" si="26"/>
        <v>0</v>
      </c>
      <c r="BS7" s="81">
        <f t="shared" si="26"/>
        <v>0</v>
      </c>
      <c r="BT7" s="81">
        <f t="shared" si="26"/>
        <v>1821</v>
      </c>
      <c r="BU7" s="81">
        <f t="shared" si="26"/>
        <v>20023.9689</v>
      </c>
      <c r="BV7" s="81">
        <f t="shared" si="26"/>
        <v>3604.314402</v>
      </c>
      <c r="BW7" s="81">
        <f t="shared" si="26"/>
        <v>0</v>
      </c>
      <c r="BX7" s="81">
        <f t="shared" si="26"/>
        <v>23628.283302</v>
      </c>
      <c r="BY7" s="81">
        <f t="shared" si="26"/>
        <v>0</v>
      </c>
      <c r="BZ7" s="81">
        <f t="shared" si="26"/>
        <v>0</v>
      </c>
      <c r="CA7" s="81">
        <f t="shared" si="26"/>
        <v>0</v>
      </c>
      <c r="CB7" s="81">
        <f t="shared" si="26"/>
        <v>18202.9689</v>
      </c>
      <c r="CC7" s="62"/>
    </row>
    <row r="10" spans="1:81" ht="13.9" thickBot="1"/>
    <row r="11" spans="1:81" ht="13.9" thickBot="1">
      <c r="A11" s="63">
        <f t="shared" ref="A11" si="27">A10+1</f>
        <v>1</v>
      </c>
      <c r="B11" s="64" t="s">
        <v>10</v>
      </c>
      <c r="C11" s="65" t="s">
        <v>93</v>
      </c>
      <c r="D11" s="65" t="s">
        <v>94</v>
      </c>
      <c r="E11" s="4" t="s">
        <v>15</v>
      </c>
      <c r="F11" s="21"/>
      <c r="G11" s="30"/>
      <c r="H11" s="4" t="s">
        <v>15</v>
      </c>
      <c r="I11" s="47"/>
      <c r="J11" s="66"/>
      <c r="K11" s="103" t="s">
        <v>113</v>
      </c>
      <c r="L11" s="47"/>
      <c r="M11" s="47"/>
      <c r="N11" s="47"/>
      <c r="O11" s="22"/>
      <c r="P11" s="50"/>
      <c r="Q11" s="51"/>
      <c r="R11" s="52"/>
      <c r="S11" s="53"/>
      <c r="T11" s="54"/>
      <c r="U11" s="54"/>
      <c r="V11" s="22"/>
      <c r="W11" s="82"/>
      <c r="X11" s="55"/>
      <c r="Y11" s="22"/>
      <c r="Z11" s="83" t="s">
        <v>95</v>
      </c>
      <c r="AA11" s="24"/>
      <c r="AB11" s="24"/>
      <c r="AC11" s="56"/>
      <c r="AD11" s="26"/>
      <c r="AE11" s="27">
        <v>45962</v>
      </c>
      <c r="AF11" s="84">
        <v>27</v>
      </c>
      <c r="AG11" s="28"/>
      <c r="AH11" s="85"/>
      <c r="AI11" s="28"/>
      <c r="AJ11" s="30">
        <f>497.5*26</f>
        <v>12935</v>
      </c>
      <c r="AK11" s="30"/>
      <c r="AL11" s="31">
        <v>1028</v>
      </c>
      <c r="AM11" s="31"/>
      <c r="AN11" s="31"/>
      <c r="AO11" s="31"/>
      <c r="AP11" s="56">
        <f t="shared" ref="AP11:AP13" si="28">SUM(AJ11:AM11)</f>
        <v>13963</v>
      </c>
      <c r="AQ11" s="56">
        <f t="shared" ref="AQ11:AQ13" si="29">ROUNDUP(AJ11/$AE$1*(AF11+AH11),0)</f>
        <v>13433</v>
      </c>
      <c r="AR11" s="56">
        <f t="shared" ref="AR11:AR13" si="30">ROUNDUP(AK11/$AE$1*(AF11+AH11),0)</f>
        <v>0</v>
      </c>
      <c r="AS11" s="56">
        <f t="shared" ref="AS11:AS13" si="31">ROUNDUP(AL11/$AE$1*(AF11+AH11),0)</f>
        <v>1068</v>
      </c>
      <c r="AT11" s="56">
        <f t="shared" ref="AT11:AT13" si="32">ROUNDUP(AM11/$AE$1*(AF11+AH11),0)</f>
        <v>0</v>
      </c>
      <c r="AU11" s="56"/>
      <c r="AV11" s="56">
        <f t="shared" ref="AV11:AV13" si="33">W11*8.33%</f>
        <v>0</v>
      </c>
      <c r="AW11" s="56"/>
      <c r="AX11" s="56"/>
      <c r="AY11" s="56"/>
      <c r="AZ11" s="56"/>
      <c r="BA11" s="56"/>
      <c r="BB11" s="56"/>
      <c r="BC11" s="56"/>
      <c r="BD11" s="56"/>
      <c r="BE11" s="56">
        <f t="shared" ref="BE11:BE13" si="34">SUM(AQ11:BD11)</f>
        <v>14501</v>
      </c>
      <c r="BF11" s="56">
        <f t="shared" ref="BF11:BF13" si="35">ROUNDUP(IF((AQ11+AT11)&gt;=15000,1800,IF((AQ11+AT11)&lt;=14999,((AQ11+AT11)*12%))),0)</f>
        <v>1612</v>
      </c>
      <c r="BG11" s="56">
        <f t="shared" ref="BG11:BG13" si="36">ROUNDUP(((BE11-AZ11-AW11)*0.75%),0)</f>
        <v>109</v>
      </c>
      <c r="BH11" s="31">
        <v>0</v>
      </c>
      <c r="BI11" s="56"/>
      <c r="BJ11" s="59"/>
      <c r="BK11" s="56">
        <f t="shared" ref="BK11:BK13" si="37">ROUNDUP((AI11)*AP11/$AE$1,0)</f>
        <v>0</v>
      </c>
      <c r="BL11" s="56">
        <f t="shared" ref="BL11:BL13" si="38">SUM(BF11:BK11)</f>
        <v>1721</v>
      </c>
      <c r="BM11" s="56">
        <f t="shared" ref="BM11:BM13" si="39">MAX(0,ROUNDUP(BE11-BL11,0))</f>
        <v>12780</v>
      </c>
      <c r="BN11" s="56">
        <f t="shared" ref="BN11:BN13" si="40">ROUNDUP(IF((AQ11+AT11)&gt;=15000,1950,IF((AQ11+AT11)&lt;=14999,((AQ11+AT11)*13%))),0)</f>
        <v>1747</v>
      </c>
      <c r="BO11" s="56">
        <f t="shared" ref="BO11:BO13" si="41">ROUNDUP(((BE11-AZ11-AW11)*3.25%),0)</f>
        <v>472</v>
      </c>
      <c r="BP11" s="56">
        <f t="shared" ref="BP11:BP13" si="42">AQ11*8.33%</f>
        <v>1118.9689000000001</v>
      </c>
      <c r="BQ11" s="22">
        <f t="shared" ref="BQ11:BQ13" si="43">ROUNDUP($BQ$1/$AE$1*AF11,0)</f>
        <v>364</v>
      </c>
      <c r="BR11" s="56"/>
      <c r="BS11" s="56"/>
      <c r="BT11" s="31">
        <f t="shared" ref="BT11:BT13" si="44">ROUNDUP(SUM(AQ11:BD11)*10%+SUM(BN11:BR11)*10%,0)</f>
        <v>1821</v>
      </c>
      <c r="BU11" s="56">
        <f t="shared" ref="BU11:BU13" si="45">BE11+SUM(BN11:BT11)</f>
        <v>20023.9689</v>
      </c>
      <c r="BV11" s="56">
        <f t="shared" ref="BV11:BV13" si="46">BU11*18%</f>
        <v>3604.314402</v>
      </c>
      <c r="BW11" s="56">
        <f t="shared" ref="BW11:BW13" si="47">BJ11</f>
        <v>0</v>
      </c>
      <c r="BX11" s="56">
        <f t="shared" ref="BX11:BX13" si="48">BU11+BV11</f>
        <v>23628.283302</v>
      </c>
      <c r="BY11" s="61"/>
      <c r="BZ11" s="61"/>
      <c r="CA11" s="61"/>
      <c r="CB11" s="56">
        <f t="shared" ref="CB11:CB13" si="49">BX11-BV11-BT11</f>
        <v>18202.9689</v>
      </c>
      <c r="CC11" s="34">
        <f t="shared" ref="CC11:CC13" si="50">BU11+BT11</f>
        <v>21844.9689</v>
      </c>
    </row>
    <row r="12" spans="1:81" ht="13.9" thickBot="1">
      <c r="A12" s="63"/>
      <c r="B12" s="64"/>
      <c r="C12" s="65"/>
      <c r="D12" s="65"/>
      <c r="E12" s="4"/>
      <c r="F12" s="21"/>
      <c r="G12" s="30"/>
      <c r="H12" s="4"/>
      <c r="I12" s="47"/>
      <c r="J12" s="66"/>
      <c r="K12" s="67"/>
      <c r="L12" s="47"/>
      <c r="M12" s="47"/>
      <c r="N12" s="47"/>
      <c r="O12" s="22"/>
      <c r="P12" s="50"/>
      <c r="Q12" s="51"/>
      <c r="R12" s="52"/>
      <c r="S12" s="53"/>
      <c r="T12" s="54"/>
      <c r="U12" s="54"/>
      <c r="V12" s="22"/>
      <c r="W12" s="82"/>
      <c r="X12" s="55"/>
      <c r="Y12" s="22"/>
      <c r="Z12" s="83" t="s">
        <v>95</v>
      </c>
      <c r="AA12" s="24"/>
      <c r="AB12" s="24"/>
      <c r="AC12" s="56"/>
      <c r="AD12" s="26"/>
      <c r="AE12" s="27"/>
      <c r="AF12" s="84"/>
      <c r="AG12" s="28"/>
      <c r="AH12" s="85"/>
      <c r="AI12" s="28"/>
      <c r="AJ12" s="30"/>
      <c r="AK12" s="30"/>
      <c r="AL12" s="31"/>
      <c r="AM12" s="31"/>
      <c r="AN12" s="31"/>
      <c r="AO12" s="31"/>
      <c r="AP12" s="56">
        <f t="shared" si="28"/>
        <v>0</v>
      </c>
      <c r="AQ12" s="56">
        <f t="shared" si="29"/>
        <v>0</v>
      </c>
      <c r="AR12" s="56">
        <f t="shared" si="30"/>
        <v>0</v>
      </c>
      <c r="AS12" s="56">
        <f t="shared" si="31"/>
        <v>0</v>
      </c>
      <c r="AT12" s="56">
        <f t="shared" si="32"/>
        <v>0</v>
      </c>
      <c r="AU12" s="56"/>
      <c r="AV12" s="56">
        <f t="shared" si="33"/>
        <v>0</v>
      </c>
      <c r="AW12" s="56"/>
      <c r="AX12" s="56"/>
      <c r="AY12" s="56"/>
      <c r="AZ12" s="56"/>
      <c r="BA12" s="56"/>
      <c r="BB12" s="56"/>
      <c r="BC12" s="56"/>
      <c r="BD12" s="56"/>
      <c r="BE12" s="56">
        <f t="shared" si="34"/>
        <v>0</v>
      </c>
      <c r="BF12" s="56">
        <f t="shared" si="35"/>
        <v>0</v>
      </c>
      <c r="BG12" s="56">
        <f t="shared" si="36"/>
        <v>0</v>
      </c>
      <c r="BH12" s="31"/>
      <c r="BI12" s="56"/>
      <c r="BJ12" s="59"/>
      <c r="BK12" s="56">
        <f t="shared" si="37"/>
        <v>0</v>
      </c>
      <c r="BL12" s="56"/>
      <c r="BM12" s="56">
        <f t="shared" si="39"/>
        <v>0</v>
      </c>
      <c r="BN12" s="56">
        <f t="shared" si="40"/>
        <v>0</v>
      </c>
      <c r="BO12" s="56">
        <f t="shared" si="41"/>
        <v>0</v>
      </c>
      <c r="BP12" s="56">
        <f t="shared" si="42"/>
        <v>0</v>
      </c>
      <c r="BQ12" s="22">
        <f t="shared" si="43"/>
        <v>0</v>
      </c>
      <c r="BR12" s="56"/>
      <c r="BS12" s="56"/>
      <c r="BT12" s="31">
        <f t="shared" si="44"/>
        <v>0</v>
      </c>
      <c r="BU12" s="56">
        <f t="shared" si="45"/>
        <v>0</v>
      </c>
      <c r="BV12" s="56">
        <f t="shared" si="46"/>
        <v>0</v>
      </c>
      <c r="BW12" s="56">
        <f t="shared" si="47"/>
        <v>0</v>
      </c>
      <c r="BX12" s="56">
        <f t="shared" si="48"/>
        <v>0</v>
      </c>
      <c r="BY12" s="61"/>
      <c r="BZ12" s="61"/>
      <c r="CA12" s="61"/>
      <c r="CB12" s="56">
        <f t="shared" si="49"/>
        <v>0</v>
      </c>
      <c r="CC12" s="34">
        <f t="shared" si="50"/>
        <v>0</v>
      </c>
    </row>
    <row r="13" spans="1:81" ht="13.9" thickBot="1">
      <c r="A13" s="63"/>
      <c r="B13" s="64"/>
      <c r="C13" s="65"/>
      <c r="D13" s="65"/>
      <c r="E13" s="4"/>
      <c r="F13" s="21"/>
      <c r="G13" s="30"/>
      <c r="H13" s="4"/>
      <c r="I13" s="47"/>
      <c r="J13" s="66"/>
      <c r="K13" s="67"/>
      <c r="L13" s="47"/>
      <c r="M13" s="47"/>
      <c r="N13" s="47"/>
      <c r="O13" s="22"/>
      <c r="P13" s="50"/>
      <c r="Q13" s="51"/>
      <c r="R13" s="52"/>
      <c r="S13" s="53"/>
      <c r="T13" s="54"/>
      <c r="U13" s="54"/>
      <c r="V13" s="22"/>
      <c r="W13" s="82"/>
      <c r="X13" s="55"/>
      <c r="Y13" s="22"/>
      <c r="Z13" s="83" t="s">
        <v>95</v>
      </c>
      <c r="AA13" s="24"/>
      <c r="AB13" s="24"/>
      <c r="AC13" s="56"/>
      <c r="AD13" s="26"/>
      <c r="AE13" s="27"/>
      <c r="AF13" s="84">
        <v>0</v>
      </c>
      <c r="AG13" s="28"/>
      <c r="AH13" s="85"/>
      <c r="AI13" s="28"/>
      <c r="AJ13" s="30"/>
      <c r="AK13" s="30"/>
      <c r="AL13" s="31"/>
      <c r="AM13" s="31"/>
      <c r="AN13" s="31"/>
      <c r="AO13" s="31"/>
      <c r="AP13" s="56">
        <f t="shared" si="28"/>
        <v>0</v>
      </c>
      <c r="AQ13" s="56">
        <f t="shared" si="29"/>
        <v>0</v>
      </c>
      <c r="AR13" s="56">
        <f t="shared" si="30"/>
        <v>0</v>
      </c>
      <c r="AS13" s="56">
        <f t="shared" si="31"/>
        <v>0</v>
      </c>
      <c r="AT13" s="56">
        <f t="shared" si="32"/>
        <v>0</v>
      </c>
      <c r="AU13" s="56"/>
      <c r="AV13" s="56">
        <f t="shared" si="33"/>
        <v>0</v>
      </c>
      <c r="AW13" s="56"/>
      <c r="AX13" s="56"/>
      <c r="AY13" s="56"/>
      <c r="AZ13" s="56"/>
      <c r="BA13" s="56"/>
      <c r="BB13" s="56"/>
      <c r="BC13" s="56"/>
      <c r="BD13" s="56"/>
      <c r="BE13" s="56">
        <f t="shared" si="34"/>
        <v>0</v>
      </c>
      <c r="BF13" s="56">
        <f t="shared" si="35"/>
        <v>0</v>
      </c>
      <c r="BG13" s="56">
        <f t="shared" si="36"/>
        <v>0</v>
      </c>
      <c r="BH13" s="31">
        <v>0</v>
      </c>
      <c r="BI13" s="56"/>
      <c r="BJ13" s="59"/>
      <c r="BK13" s="56">
        <f t="shared" si="37"/>
        <v>0</v>
      </c>
      <c r="BL13" s="56">
        <f t="shared" si="38"/>
        <v>0</v>
      </c>
      <c r="BM13" s="56">
        <f t="shared" si="39"/>
        <v>0</v>
      </c>
      <c r="BN13" s="56">
        <f t="shared" si="40"/>
        <v>0</v>
      </c>
      <c r="BO13" s="56">
        <f t="shared" si="41"/>
        <v>0</v>
      </c>
      <c r="BP13" s="56">
        <f t="shared" si="42"/>
        <v>0</v>
      </c>
      <c r="BQ13" s="22">
        <f t="shared" si="43"/>
        <v>0</v>
      </c>
      <c r="BR13" s="56"/>
      <c r="BS13" s="56"/>
      <c r="BT13" s="31">
        <f t="shared" si="44"/>
        <v>0</v>
      </c>
      <c r="BU13" s="56">
        <f t="shared" si="45"/>
        <v>0</v>
      </c>
      <c r="BV13" s="56">
        <f t="shared" si="46"/>
        <v>0</v>
      </c>
      <c r="BW13" s="56">
        <f t="shared" si="47"/>
        <v>0</v>
      </c>
      <c r="BX13" s="56">
        <f t="shared" si="48"/>
        <v>0</v>
      </c>
      <c r="BY13" s="61"/>
      <c r="BZ13" s="61"/>
      <c r="CA13" s="61"/>
      <c r="CB13" s="56">
        <f t="shared" si="49"/>
        <v>0</v>
      </c>
      <c r="CC13" s="34">
        <f t="shared" si="50"/>
        <v>0</v>
      </c>
    </row>
    <row r="14" spans="1:81" ht="13.9" thickBot="1">
      <c r="A14" s="70"/>
      <c r="B14" s="71"/>
      <c r="C14" s="72"/>
      <c r="D14" s="72"/>
      <c r="E14" s="72"/>
      <c r="F14" s="86"/>
      <c r="G14" s="87"/>
      <c r="H14" s="88"/>
      <c r="I14" s="89"/>
      <c r="J14" s="90"/>
      <c r="K14" s="91"/>
      <c r="L14" s="89"/>
      <c r="M14" s="89"/>
      <c r="N14" s="89"/>
      <c r="O14" s="88"/>
      <c r="P14" s="92"/>
      <c r="Q14" s="93"/>
      <c r="R14" s="94"/>
      <c r="S14" s="95"/>
      <c r="T14" s="95"/>
      <c r="U14" s="95"/>
      <c r="V14" s="88"/>
      <c r="W14" s="88"/>
      <c r="X14" s="96"/>
      <c r="Y14" s="88"/>
      <c r="Z14" s="91"/>
      <c r="AA14" s="88"/>
      <c r="AB14" s="88"/>
      <c r="AC14" s="97"/>
      <c r="AD14" s="98"/>
      <c r="AE14" s="99"/>
      <c r="AF14" s="81">
        <f t="shared" ref="AF14:CB14" si="51">SUM(AF11:AF13)</f>
        <v>27</v>
      </c>
      <c r="AG14" s="81">
        <f t="shared" si="51"/>
        <v>0</v>
      </c>
      <c r="AH14" s="81">
        <f t="shared" si="51"/>
        <v>0</v>
      </c>
      <c r="AI14" s="81">
        <f t="shared" si="51"/>
        <v>0</v>
      </c>
      <c r="AJ14" s="81">
        <f t="shared" si="51"/>
        <v>12935</v>
      </c>
      <c r="AK14" s="81">
        <f t="shared" si="51"/>
        <v>0</v>
      </c>
      <c r="AL14" s="81">
        <f t="shared" si="51"/>
        <v>1028</v>
      </c>
      <c r="AM14" s="81">
        <f t="shared" si="51"/>
        <v>0</v>
      </c>
      <c r="AN14" s="81">
        <f t="shared" si="51"/>
        <v>0</v>
      </c>
      <c r="AO14" s="81">
        <f t="shared" si="51"/>
        <v>0</v>
      </c>
      <c r="AP14" s="81">
        <f t="shared" si="51"/>
        <v>13963</v>
      </c>
      <c r="AQ14" s="81">
        <f t="shared" si="51"/>
        <v>13433</v>
      </c>
      <c r="AR14" s="81">
        <f t="shared" si="51"/>
        <v>0</v>
      </c>
      <c r="AS14" s="81">
        <f t="shared" si="51"/>
        <v>1068</v>
      </c>
      <c r="AT14" s="81">
        <f t="shared" si="51"/>
        <v>0</v>
      </c>
      <c r="AU14" s="81">
        <f t="shared" si="51"/>
        <v>0</v>
      </c>
      <c r="AV14" s="81">
        <f t="shared" si="51"/>
        <v>0</v>
      </c>
      <c r="AW14" s="81">
        <f t="shared" si="51"/>
        <v>0</v>
      </c>
      <c r="AX14" s="81">
        <f t="shared" si="51"/>
        <v>0</v>
      </c>
      <c r="AY14" s="81">
        <f t="shared" si="51"/>
        <v>0</v>
      </c>
      <c r="AZ14" s="81">
        <f t="shared" si="51"/>
        <v>0</v>
      </c>
      <c r="BA14" s="81">
        <f t="shared" si="51"/>
        <v>0</v>
      </c>
      <c r="BB14" s="81">
        <f t="shared" si="51"/>
        <v>0</v>
      </c>
      <c r="BC14" s="81">
        <f t="shared" si="51"/>
        <v>0</v>
      </c>
      <c r="BD14" s="81">
        <f t="shared" si="51"/>
        <v>0</v>
      </c>
      <c r="BE14" s="81">
        <f t="shared" si="51"/>
        <v>14501</v>
      </c>
      <c r="BF14" s="81">
        <f t="shared" si="51"/>
        <v>1612</v>
      </c>
      <c r="BG14" s="81">
        <f t="shared" si="51"/>
        <v>109</v>
      </c>
      <c r="BH14" s="81">
        <f t="shared" si="51"/>
        <v>0</v>
      </c>
      <c r="BI14" s="81">
        <f t="shared" si="51"/>
        <v>0</v>
      </c>
      <c r="BJ14" s="81">
        <f t="shared" si="51"/>
        <v>0</v>
      </c>
      <c r="BK14" s="81">
        <f t="shared" si="51"/>
        <v>0</v>
      </c>
      <c r="BL14" s="81">
        <f t="shared" si="51"/>
        <v>1721</v>
      </c>
      <c r="BM14" s="81">
        <f t="shared" si="51"/>
        <v>12780</v>
      </c>
      <c r="BN14" s="81">
        <f t="shared" si="51"/>
        <v>1747</v>
      </c>
      <c r="BO14" s="81">
        <f t="shared" si="51"/>
        <v>472</v>
      </c>
      <c r="BP14" s="81">
        <f t="shared" si="51"/>
        <v>1118.9689000000001</v>
      </c>
      <c r="BQ14" s="81">
        <f t="shared" si="51"/>
        <v>364</v>
      </c>
      <c r="BR14" s="81">
        <f t="shared" si="51"/>
        <v>0</v>
      </c>
      <c r="BS14" s="81">
        <f t="shared" si="51"/>
        <v>0</v>
      </c>
      <c r="BT14" s="81">
        <f t="shared" si="51"/>
        <v>1821</v>
      </c>
      <c r="BU14" s="81">
        <f t="shared" si="51"/>
        <v>20023.9689</v>
      </c>
      <c r="BV14" s="81">
        <f t="shared" si="51"/>
        <v>3604.314402</v>
      </c>
      <c r="BW14" s="81">
        <f t="shared" si="51"/>
        <v>0</v>
      </c>
      <c r="BX14" s="81">
        <f t="shared" si="51"/>
        <v>23628.283302</v>
      </c>
      <c r="BY14" s="81">
        <f t="shared" si="51"/>
        <v>0</v>
      </c>
      <c r="BZ14" s="81">
        <f t="shared" si="51"/>
        <v>0</v>
      </c>
      <c r="CA14" s="81">
        <f t="shared" si="51"/>
        <v>0</v>
      </c>
      <c r="CB14" s="81">
        <f t="shared" si="51"/>
        <v>18202.9689</v>
      </c>
      <c r="CC14" s="62"/>
    </row>
    <row r="17" spans="1:81">
      <c r="A17" s="30">
        <v>1</v>
      </c>
      <c r="B17" s="21" t="s">
        <v>10</v>
      </c>
      <c r="C17" s="22" t="s">
        <v>93</v>
      </c>
      <c r="D17" s="22" t="s">
        <v>94</v>
      </c>
      <c r="E17" s="4" t="s">
        <v>17</v>
      </c>
      <c r="F17" s="21"/>
      <c r="G17" s="30"/>
      <c r="H17" s="4" t="s">
        <v>17</v>
      </c>
      <c r="I17" s="47"/>
      <c r="J17" s="66"/>
      <c r="K17" s="103" t="s">
        <v>108</v>
      </c>
      <c r="L17" s="47"/>
      <c r="M17" s="47"/>
      <c r="N17" s="47"/>
      <c r="O17" s="22"/>
      <c r="P17" s="50"/>
      <c r="Q17" s="51"/>
      <c r="R17" s="52"/>
      <c r="S17" s="53"/>
      <c r="T17" s="54"/>
      <c r="U17" s="54"/>
      <c r="V17" s="22"/>
      <c r="W17" s="82"/>
      <c r="X17" s="55"/>
      <c r="Y17" s="22"/>
      <c r="Z17" s="83" t="s">
        <v>95</v>
      </c>
      <c r="AA17" s="24"/>
      <c r="AB17" s="24"/>
      <c r="AC17" s="56"/>
      <c r="AD17" s="26"/>
      <c r="AE17" s="27">
        <v>45962</v>
      </c>
      <c r="AF17" s="4">
        <v>27</v>
      </c>
      <c r="AG17" s="28"/>
      <c r="AH17" s="85"/>
      <c r="AI17" s="28"/>
      <c r="AJ17" s="30">
        <f>497.5*26</f>
        <v>12935</v>
      </c>
      <c r="AK17" s="30"/>
      <c r="AL17" s="31">
        <v>1028</v>
      </c>
      <c r="AM17" s="31"/>
      <c r="AN17" s="31"/>
      <c r="AO17" s="31"/>
      <c r="AP17" s="56">
        <f t="shared" ref="AP17:AP20" si="52">SUM(AJ17:AM17)</f>
        <v>13963</v>
      </c>
      <c r="AQ17" s="56">
        <f t="shared" ref="AQ17:AQ20" si="53">ROUNDUP(AJ17/$AE$1*(AF17+AH17),0)</f>
        <v>13433</v>
      </c>
      <c r="AR17" s="56">
        <f t="shared" ref="AR17:AR20" si="54">ROUNDUP(AK17/$AE$1*(AF17+AH17),0)</f>
        <v>0</v>
      </c>
      <c r="AS17" s="56">
        <f t="shared" ref="AS17:AS20" si="55">ROUNDUP(AL17/$AE$1*(AF17+AH17),0)</f>
        <v>1068</v>
      </c>
      <c r="AT17" s="56">
        <f t="shared" ref="AT17:AT20" si="56">ROUNDUP(AM17/$AE$1*(AF17+AH17),0)</f>
        <v>0</v>
      </c>
      <c r="AU17" s="56"/>
      <c r="AV17" s="56">
        <f t="shared" ref="AV17:AV20" si="57">W17*8.33%</f>
        <v>0</v>
      </c>
      <c r="AW17" s="56"/>
      <c r="AX17" s="56"/>
      <c r="AY17" s="56"/>
      <c r="AZ17" s="56"/>
      <c r="BA17" s="56"/>
      <c r="BB17" s="56"/>
      <c r="BC17" s="56"/>
      <c r="BD17" s="56"/>
      <c r="BE17" s="56">
        <f t="shared" ref="BE17:BE20" si="58">SUM(AQ17:BD17)</f>
        <v>14501</v>
      </c>
      <c r="BF17" s="56">
        <f t="shared" ref="BF17:BF20" si="59">ROUNDUP(IF((AQ17+AT17)&gt;=15000,1800,IF((AQ17+AT17)&lt;=14999,((AQ17+AT17)*12%))),0)</f>
        <v>1612</v>
      </c>
      <c r="BG17" s="56">
        <f t="shared" ref="BG17:BG20" si="60">ROUNDUP(((BE17-AZ17-AW17)*0.75%),0)</f>
        <v>109</v>
      </c>
      <c r="BH17" s="31">
        <f t="shared" ref="BH17" si="61">IF(AP17&gt;11999,200)</f>
        <v>200</v>
      </c>
      <c r="BI17" s="56"/>
      <c r="BJ17" s="59"/>
      <c r="BK17" s="56">
        <f t="shared" ref="BK17:BK20" si="62">ROUNDUP((AI17)*AP17/$AE$1,0)</f>
        <v>0</v>
      </c>
      <c r="BL17" s="56">
        <f t="shared" ref="BL17:BL20" si="63">SUM(BF17:BK17)</f>
        <v>1921</v>
      </c>
      <c r="BM17" s="56">
        <f t="shared" ref="BM17:BM20" si="64">MAX(0,ROUNDUP(BE17-BL17,0))</f>
        <v>12580</v>
      </c>
      <c r="BN17" s="56">
        <f t="shared" ref="BN17:BN20" si="65">ROUNDUP(IF((AQ17+AT17)&gt;=15000,1950,IF((AQ17+AT17)&lt;=14999,((AQ17+AT17)*13%))),0)</f>
        <v>1747</v>
      </c>
      <c r="BO17" s="56">
        <f t="shared" ref="BO17:BO20" si="66">ROUNDUP(((BE17-AZ17-AW17)*3.25%),0)</f>
        <v>472</v>
      </c>
      <c r="BP17" s="56">
        <f t="shared" ref="BP17:BP20" si="67">AQ17*8.33%</f>
        <v>1118.9689000000001</v>
      </c>
      <c r="BQ17" s="22">
        <f t="shared" ref="BQ17:BQ20" si="68">ROUNDUP($BQ$1/$AE$1*AF17,0)</f>
        <v>364</v>
      </c>
      <c r="BR17" s="56"/>
      <c r="BS17" s="56"/>
      <c r="BT17" s="31">
        <f t="shared" ref="BT17:BT20" si="69">ROUNDUP(SUM(AQ17:BD17)*10%+SUM(BN17:BR17)*10%,0)</f>
        <v>1821</v>
      </c>
      <c r="BU17" s="56">
        <f t="shared" ref="BU17:BU20" si="70">BE17+SUM(BN17:BT17)</f>
        <v>20023.9689</v>
      </c>
      <c r="BV17" s="56">
        <f t="shared" ref="BV17:BV20" si="71">BU17*18%</f>
        <v>3604.314402</v>
      </c>
      <c r="BW17" s="56">
        <f t="shared" ref="BW17:BW20" si="72">BJ17</f>
        <v>0</v>
      </c>
      <c r="BX17" s="56">
        <f t="shared" ref="BX17:BX20" si="73">BU17+BV17</f>
        <v>23628.283302</v>
      </c>
      <c r="BY17" s="61"/>
      <c r="BZ17" s="61"/>
      <c r="CA17" s="61"/>
      <c r="CB17" s="56">
        <f t="shared" ref="CB17:CB20" si="74">BX17-BV17-BT17</f>
        <v>18202.9689</v>
      </c>
      <c r="CC17" s="34">
        <f t="shared" ref="CC17:CC20" si="75">BU17+BT17</f>
        <v>21844.9689</v>
      </c>
    </row>
    <row r="18" spans="1:81">
      <c r="A18" s="30">
        <v>2</v>
      </c>
      <c r="B18" s="21" t="s">
        <v>10</v>
      </c>
      <c r="C18" s="22" t="s">
        <v>93</v>
      </c>
      <c r="D18" s="22" t="s">
        <v>94</v>
      </c>
      <c r="E18" s="4" t="s">
        <v>110</v>
      </c>
      <c r="F18" s="21"/>
      <c r="G18" s="30"/>
      <c r="H18" s="4" t="s">
        <v>109</v>
      </c>
      <c r="I18" s="47"/>
      <c r="J18" s="66"/>
      <c r="K18" s="103" t="s">
        <v>101</v>
      </c>
      <c r="L18" s="47"/>
      <c r="M18" s="47"/>
      <c r="N18" s="47"/>
      <c r="O18" s="22"/>
      <c r="P18" s="50"/>
      <c r="Q18" s="51"/>
      <c r="R18" s="52"/>
      <c r="S18" s="53"/>
      <c r="T18" s="54"/>
      <c r="U18" s="54"/>
      <c r="V18" s="22"/>
      <c r="W18" s="82"/>
      <c r="X18" s="55"/>
      <c r="Y18" s="22"/>
      <c r="Z18" s="83" t="s">
        <v>95</v>
      </c>
      <c r="AA18" s="24"/>
      <c r="AB18" s="24"/>
      <c r="AC18" s="56"/>
      <c r="AD18" s="26"/>
      <c r="AE18" s="27">
        <v>45962</v>
      </c>
      <c r="AF18" s="4">
        <v>9</v>
      </c>
      <c r="AG18" s="28"/>
      <c r="AH18" s="85"/>
      <c r="AI18" s="28"/>
      <c r="AJ18" s="30">
        <f>497.5*26</f>
        <v>12935</v>
      </c>
      <c r="AK18" s="30"/>
      <c r="AL18" s="31">
        <v>1028</v>
      </c>
      <c r="AM18" s="31"/>
      <c r="AN18" s="31"/>
      <c r="AO18" s="31"/>
      <c r="AP18" s="56">
        <f t="shared" si="52"/>
        <v>13963</v>
      </c>
      <c r="AQ18" s="56">
        <f t="shared" si="53"/>
        <v>4478</v>
      </c>
      <c r="AR18" s="56">
        <f t="shared" si="54"/>
        <v>0</v>
      </c>
      <c r="AS18" s="56">
        <f t="shared" si="55"/>
        <v>356</v>
      </c>
      <c r="AT18" s="56">
        <f t="shared" si="56"/>
        <v>0</v>
      </c>
      <c r="AU18" s="56"/>
      <c r="AV18" s="56">
        <f t="shared" si="57"/>
        <v>0</v>
      </c>
      <c r="AW18" s="56"/>
      <c r="AX18" s="56"/>
      <c r="AY18" s="56"/>
      <c r="AZ18" s="56"/>
      <c r="BA18" s="56"/>
      <c r="BB18" s="56"/>
      <c r="BC18" s="56"/>
      <c r="BD18" s="56"/>
      <c r="BE18" s="56">
        <f t="shared" si="58"/>
        <v>4834</v>
      </c>
      <c r="BF18" s="56">
        <f t="shared" si="59"/>
        <v>538</v>
      </c>
      <c r="BG18" s="56">
        <f t="shared" si="60"/>
        <v>37</v>
      </c>
      <c r="BH18" s="31">
        <v>0</v>
      </c>
      <c r="BI18" s="56"/>
      <c r="BJ18" s="59"/>
      <c r="BK18" s="56">
        <f t="shared" si="62"/>
        <v>0</v>
      </c>
      <c r="BL18" s="56">
        <f t="shared" si="63"/>
        <v>575</v>
      </c>
      <c r="BM18" s="56">
        <f t="shared" si="64"/>
        <v>4259</v>
      </c>
      <c r="BN18" s="56">
        <f t="shared" si="65"/>
        <v>583</v>
      </c>
      <c r="BO18" s="56">
        <f t="shared" si="66"/>
        <v>158</v>
      </c>
      <c r="BP18" s="56">
        <f t="shared" si="67"/>
        <v>373.01740000000001</v>
      </c>
      <c r="BQ18" s="22">
        <f t="shared" si="68"/>
        <v>122</v>
      </c>
      <c r="BR18" s="56"/>
      <c r="BS18" s="56"/>
      <c r="BT18" s="31">
        <f t="shared" si="69"/>
        <v>608</v>
      </c>
      <c r="BU18" s="56">
        <f t="shared" si="70"/>
        <v>6678.0173999999997</v>
      </c>
      <c r="BV18" s="56">
        <f t="shared" si="71"/>
        <v>1202.043132</v>
      </c>
      <c r="BW18" s="56">
        <f t="shared" si="72"/>
        <v>0</v>
      </c>
      <c r="BX18" s="56">
        <f t="shared" si="73"/>
        <v>7880.0605319999995</v>
      </c>
      <c r="BY18" s="61"/>
      <c r="BZ18" s="61"/>
      <c r="CA18" s="61"/>
      <c r="CB18" s="56">
        <f t="shared" si="74"/>
        <v>6070.0173999999997</v>
      </c>
      <c r="CC18" s="34">
        <f t="shared" si="75"/>
        <v>7286.0173999999997</v>
      </c>
    </row>
    <row r="19" spans="1:81">
      <c r="A19" s="30">
        <v>3</v>
      </c>
      <c r="B19" s="21" t="s">
        <v>10</v>
      </c>
      <c r="C19" s="22" t="s">
        <v>93</v>
      </c>
      <c r="D19" s="22" t="s">
        <v>94</v>
      </c>
      <c r="E19" s="4" t="s">
        <v>110</v>
      </c>
      <c r="F19" s="21"/>
      <c r="G19" s="30"/>
      <c r="H19" s="4" t="s">
        <v>109</v>
      </c>
      <c r="I19" s="47"/>
      <c r="J19" s="66"/>
      <c r="K19" s="103" t="s">
        <v>119</v>
      </c>
      <c r="L19" s="47"/>
      <c r="M19" s="47"/>
      <c r="N19" s="47"/>
      <c r="O19" s="22"/>
      <c r="P19" s="50"/>
      <c r="Q19" s="51"/>
      <c r="R19" s="52"/>
      <c r="S19" s="53"/>
      <c r="T19" s="54"/>
      <c r="U19" s="54"/>
      <c r="V19" s="22"/>
      <c r="W19" s="82"/>
      <c r="X19" s="55"/>
      <c r="Y19" s="22"/>
      <c r="Z19" s="83" t="s">
        <v>95</v>
      </c>
      <c r="AA19" s="24"/>
      <c r="AB19" s="24"/>
      <c r="AC19" s="56"/>
      <c r="AD19" s="26"/>
      <c r="AE19" s="27">
        <v>45962</v>
      </c>
      <c r="AF19" s="4">
        <v>26</v>
      </c>
      <c r="AG19" s="28"/>
      <c r="AH19" s="85"/>
      <c r="AI19" s="28"/>
      <c r="AJ19" s="30">
        <f t="shared" ref="AJ19:AJ20" si="76">497.5*26</f>
        <v>12935</v>
      </c>
      <c r="AK19" s="30"/>
      <c r="AL19" s="31">
        <v>1028</v>
      </c>
      <c r="AM19" s="31"/>
      <c r="AN19" s="31"/>
      <c r="AO19" s="31"/>
      <c r="AP19" s="56">
        <f t="shared" si="52"/>
        <v>13963</v>
      </c>
      <c r="AQ19" s="56">
        <f t="shared" si="53"/>
        <v>12935</v>
      </c>
      <c r="AR19" s="56">
        <f t="shared" si="54"/>
        <v>0</v>
      </c>
      <c r="AS19" s="56">
        <f t="shared" si="55"/>
        <v>1028</v>
      </c>
      <c r="AT19" s="56">
        <f t="shared" si="56"/>
        <v>0</v>
      </c>
      <c r="AU19" s="56"/>
      <c r="AV19" s="56">
        <f t="shared" si="57"/>
        <v>0</v>
      </c>
      <c r="AW19" s="56"/>
      <c r="AX19" s="56"/>
      <c r="AY19" s="56"/>
      <c r="AZ19" s="56"/>
      <c r="BA19" s="56"/>
      <c r="BB19" s="56"/>
      <c r="BC19" s="56"/>
      <c r="BD19" s="56"/>
      <c r="BE19" s="56">
        <f t="shared" si="58"/>
        <v>13963</v>
      </c>
      <c r="BF19" s="56">
        <f t="shared" si="59"/>
        <v>1553</v>
      </c>
      <c r="BG19" s="56">
        <f t="shared" si="60"/>
        <v>105</v>
      </c>
      <c r="BH19" s="31">
        <v>0</v>
      </c>
      <c r="BI19" s="56"/>
      <c r="BJ19" s="59"/>
      <c r="BK19" s="56">
        <f t="shared" si="62"/>
        <v>0</v>
      </c>
      <c r="BL19" s="56">
        <f t="shared" si="63"/>
        <v>1658</v>
      </c>
      <c r="BM19" s="56">
        <f t="shared" si="64"/>
        <v>12305</v>
      </c>
      <c r="BN19" s="56">
        <f t="shared" si="65"/>
        <v>1682</v>
      </c>
      <c r="BO19" s="56">
        <f t="shared" si="66"/>
        <v>454</v>
      </c>
      <c r="BP19" s="56">
        <f t="shared" si="67"/>
        <v>1077.4855</v>
      </c>
      <c r="BQ19" s="22">
        <f t="shared" si="68"/>
        <v>350</v>
      </c>
      <c r="BR19" s="56"/>
      <c r="BS19" s="56"/>
      <c r="BT19" s="31">
        <f t="shared" si="69"/>
        <v>1753</v>
      </c>
      <c r="BU19" s="56">
        <f t="shared" si="70"/>
        <v>19279.485499999999</v>
      </c>
      <c r="BV19" s="56">
        <f t="shared" si="71"/>
        <v>3470.3073899999995</v>
      </c>
      <c r="BW19" s="56">
        <f t="shared" si="72"/>
        <v>0</v>
      </c>
      <c r="BX19" s="56">
        <f t="shared" si="73"/>
        <v>22749.792889999997</v>
      </c>
      <c r="BY19" s="61"/>
      <c r="BZ19" s="61"/>
      <c r="CA19" s="61"/>
      <c r="CB19" s="56">
        <f t="shared" si="74"/>
        <v>17526.485499999999</v>
      </c>
      <c r="CC19" s="34">
        <f t="shared" si="75"/>
        <v>21032.485499999999</v>
      </c>
    </row>
    <row r="20" spans="1:81">
      <c r="A20" s="30">
        <v>4</v>
      </c>
      <c r="B20" s="21" t="s">
        <v>10</v>
      </c>
      <c r="C20" s="22" t="s">
        <v>93</v>
      </c>
      <c r="D20" s="22" t="s">
        <v>94</v>
      </c>
      <c r="E20" s="4" t="s">
        <v>110</v>
      </c>
      <c r="F20" s="21"/>
      <c r="G20" s="30"/>
      <c r="H20" s="4" t="s">
        <v>110</v>
      </c>
      <c r="I20" s="47"/>
      <c r="J20" s="66"/>
      <c r="K20" s="103" t="s">
        <v>107</v>
      </c>
      <c r="L20" s="47"/>
      <c r="M20" s="47"/>
      <c r="N20" s="47"/>
      <c r="O20" s="22"/>
      <c r="P20" s="50"/>
      <c r="Q20" s="51"/>
      <c r="R20" s="52"/>
      <c r="S20" s="53"/>
      <c r="T20" s="54"/>
      <c r="U20" s="54"/>
      <c r="V20" s="22"/>
      <c r="W20" s="82"/>
      <c r="X20" s="55"/>
      <c r="Y20" s="22"/>
      <c r="Z20" s="83" t="s">
        <v>95</v>
      </c>
      <c r="AA20" s="24"/>
      <c r="AB20" s="24"/>
      <c r="AC20" s="56"/>
      <c r="AD20" s="26"/>
      <c r="AE20" s="27">
        <v>45962</v>
      </c>
      <c r="AF20" s="4">
        <v>16</v>
      </c>
      <c r="AG20" s="28"/>
      <c r="AH20" s="85"/>
      <c r="AI20" s="28"/>
      <c r="AJ20" s="30">
        <f t="shared" si="76"/>
        <v>12935</v>
      </c>
      <c r="AK20" s="30"/>
      <c r="AL20" s="31">
        <v>1028</v>
      </c>
      <c r="AM20" s="31"/>
      <c r="AN20" s="31"/>
      <c r="AO20" s="31"/>
      <c r="AP20" s="56">
        <f t="shared" si="52"/>
        <v>13963</v>
      </c>
      <c r="AQ20" s="56">
        <f t="shared" si="53"/>
        <v>7960</v>
      </c>
      <c r="AR20" s="56">
        <f t="shared" si="54"/>
        <v>0</v>
      </c>
      <c r="AS20" s="56">
        <f t="shared" si="55"/>
        <v>633</v>
      </c>
      <c r="AT20" s="56">
        <f t="shared" si="56"/>
        <v>0</v>
      </c>
      <c r="AU20" s="56"/>
      <c r="AV20" s="56">
        <f t="shared" si="57"/>
        <v>0</v>
      </c>
      <c r="AW20" s="56"/>
      <c r="AX20" s="56"/>
      <c r="AY20" s="56"/>
      <c r="AZ20" s="56"/>
      <c r="BA20" s="56"/>
      <c r="BB20" s="56"/>
      <c r="BC20" s="56"/>
      <c r="BD20" s="56"/>
      <c r="BE20" s="56">
        <f t="shared" si="58"/>
        <v>8593</v>
      </c>
      <c r="BF20" s="56">
        <f t="shared" si="59"/>
        <v>956</v>
      </c>
      <c r="BG20" s="56">
        <f t="shared" si="60"/>
        <v>65</v>
      </c>
      <c r="BH20" s="31">
        <v>0</v>
      </c>
      <c r="BI20" s="56"/>
      <c r="BJ20" s="59"/>
      <c r="BK20" s="56">
        <f t="shared" si="62"/>
        <v>0</v>
      </c>
      <c r="BL20" s="56">
        <f t="shared" si="63"/>
        <v>1021</v>
      </c>
      <c r="BM20" s="56">
        <f t="shared" si="64"/>
        <v>7572</v>
      </c>
      <c r="BN20" s="56">
        <f t="shared" si="65"/>
        <v>1035</v>
      </c>
      <c r="BO20" s="56">
        <f t="shared" si="66"/>
        <v>280</v>
      </c>
      <c r="BP20" s="56">
        <f t="shared" si="67"/>
        <v>663.06799999999998</v>
      </c>
      <c r="BQ20" s="22">
        <f t="shared" si="68"/>
        <v>216</v>
      </c>
      <c r="BR20" s="56"/>
      <c r="BS20" s="56"/>
      <c r="BT20" s="31">
        <f t="shared" si="69"/>
        <v>1079</v>
      </c>
      <c r="BU20" s="56">
        <f t="shared" si="70"/>
        <v>11866.067999999999</v>
      </c>
      <c r="BV20" s="56">
        <f t="shared" si="71"/>
        <v>2135.8922399999997</v>
      </c>
      <c r="BW20" s="56">
        <f t="shared" si="72"/>
        <v>0</v>
      </c>
      <c r="BX20" s="56">
        <f t="shared" si="73"/>
        <v>14001.960239999999</v>
      </c>
      <c r="BY20" s="61"/>
      <c r="BZ20" s="61"/>
      <c r="CA20" s="61"/>
      <c r="CB20" s="56">
        <f t="shared" si="74"/>
        <v>10787.067999999999</v>
      </c>
      <c r="CC20" s="34">
        <f t="shared" si="75"/>
        <v>12945.067999999999</v>
      </c>
    </row>
    <row r="21" spans="1:81" ht="13.9" thickBot="1">
      <c r="A21" s="5">
        <v>5</v>
      </c>
      <c r="B21" s="21" t="s">
        <v>10</v>
      </c>
      <c r="C21" s="22" t="s">
        <v>93</v>
      </c>
      <c r="D21" s="22" t="s">
        <v>94</v>
      </c>
      <c r="E21" s="4" t="s">
        <v>110</v>
      </c>
      <c r="F21" s="86"/>
      <c r="G21" s="87"/>
      <c r="H21" s="4" t="s">
        <v>111</v>
      </c>
      <c r="I21" s="89"/>
      <c r="J21" s="90"/>
      <c r="K21" s="91"/>
      <c r="L21" s="89"/>
      <c r="M21" s="89"/>
      <c r="N21" s="89"/>
      <c r="O21" s="88"/>
      <c r="P21" s="92"/>
      <c r="Q21" s="93"/>
      <c r="R21" s="94"/>
      <c r="S21" s="95"/>
      <c r="T21" s="95"/>
      <c r="U21" s="95"/>
      <c r="V21" s="88"/>
      <c r="W21" s="88"/>
      <c r="X21" s="96"/>
      <c r="Y21" s="88"/>
      <c r="Z21" s="91"/>
      <c r="AA21" s="88"/>
      <c r="AB21" s="88"/>
      <c r="AC21" s="97"/>
      <c r="AD21" s="98"/>
      <c r="AE21" s="99"/>
      <c r="AF21" s="102">
        <f>SUM(AF17:AF20)</f>
        <v>78</v>
      </c>
      <c r="AG21" s="81">
        <f>SUM(AG7:AG20)</f>
        <v>0</v>
      </c>
      <c r="AH21" s="81">
        <f>SUM(AH7:AH20)</f>
        <v>0</v>
      </c>
      <c r="AI21" s="81">
        <f>SUM(AI7:AI20)</f>
        <v>0</v>
      </c>
      <c r="AJ21" s="81">
        <f t="shared" ref="AJ21:CB21" si="77">SUM(AJ17:AJ20)</f>
        <v>51740</v>
      </c>
      <c r="AK21" s="81">
        <f t="shared" si="77"/>
        <v>0</v>
      </c>
      <c r="AL21" s="81">
        <f t="shared" si="77"/>
        <v>4112</v>
      </c>
      <c r="AM21" s="81">
        <f t="shared" si="77"/>
        <v>0</v>
      </c>
      <c r="AN21" s="81">
        <f t="shared" si="77"/>
        <v>0</v>
      </c>
      <c r="AO21" s="81">
        <f t="shared" si="77"/>
        <v>0</v>
      </c>
      <c r="AP21" s="81">
        <f t="shared" si="77"/>
        <v>55852</v>
      </c>
      <c r="AQ21" s="81">
        <f t="shared" si="77"/>
        <v>38806</v>
      </c>
      <c r="AR21" s="81">
        <f t="shared" si="77"/>
        <v>0</v>
      </c>
      <c r="AS21" s="81">
        <f t="shared" si="77"/>
        <v>3085</v>
      </c>
      <c r="AT21" s="81">
        <f t="shared" si="77"/>
        <v>0</v>
      </c>
      <c r="AU21" s="81">
        <f t="shared" si="77"/>
        <v>0</v>
      </c>
      <c r="AV21" s="81">
        <f t="shared" si="77"/>
        <v>0</v>
      </c>
      <c r="AW21" s="81">
        <f t="shared" si="77"/>
        <v>0</v>
      </c>
      <c r="AX21" s="81">
        <f t="shared" si="77"/>
        <v>0</v>
      </c>
      <c r="AY21" s="81">
        <f t="shared" si="77"/>
        <v>0</v>
      </c>
      <c r="AZ21" s="81">
        <f t="shared" si="77"/>
        <v>0</v>
      </c>
      <c r="BA21" s="81">
        <f t="shared" si="77"/>
        <v>0</v>
      </c>
      <c r="BB21" s="81">
        <f t="shared" si="77"/>
        <v>0</v>
      </c>
      <c r="BC21" s="81">
        <f t="shared" si="77"/>
        <v>0</v>
      </c>
      <c r="BD21" s="81">
        <f t="shared" si="77"/>
        <v>0</v>
      </c>
      <c r="BE21" s="81">
        <f t="shared" si="77"/>
        <v>41891</v>
      </c>
      <c r="BF21" s="81">
        <f t="shared" si="77"/>
        <v>4659</v>
      </c>
      <c r="BG21" s="81">
        <f t="shared" si="77"/>
        <v>316</v>
      </c>
      <c r="BH21" s="81">
        <f t="shared" si="77"/>
        <v>200</v>
      </c>
      <c r="BI21" s="81">
        <f t="shared" si="77"/>
        <v>0</v>
      </c>
      <c r="BJ21" s="81">
        <f t="shared" si="77"/>
        <v>0</v>
      </c>
      <c r="BK21" s="81">
        <f t="shared" si="77"/>
        <v>0</v>
      </c>
      <c r="BL21" s="81">
        <f t="shared" si="77"/>
        <v>5175</v>
      </c>
      <c r="BM21" s="81">
        <f t="shared" si="77"/>
        <v>36716</v>
      </c>
      <c r="BN21" s="81">
        <f t="shared" si="77"/>
        <v>5047</v>
      </c>
      <c r="BO21" s="81">
        <f t="shared" si="77"/>
        <v>1364</v>
      </c>
      <c r="BP21" s="81">
        <f t="shared" si="77"/>
        <v>3232.5398000000005</v>
      </c>
      <c r="BQ21" s="81">
        <f t="shared" si="77"/>
        <v>1052</v>
      </c>
      <c r="BR21" s="81">
        <f t="shared" si="77"/>
        <v>0</v>
      </c>
      <c r="BS21" s="81">
        <f t="shared" si="77"/>
        <v>0</v>
      </c>
      <c r="BT21" s="81">
        <f t="shared" si="77"/>
        <v>5261</v>
      </c>
      <c r="BU21" s="81">
        <f t="shared" si="77"/>
        <v>57847.539799999999</v>
      </c>
      <c r="BV21" s="81">
        <f t="shared" si="77"/>
        <v>10412.557163999998</v>
      </c>
      <c r="BW21" s="81">
        <f t="shared" si="77"/>
        <v>0</v>
      </c>
      <c r="BX21" s="81">
        <f t="shared" si="77"/>
        <v>68260.096963999997</v>
      </c>
      <c r="BY21" s="81">
        <f t="shared" si="77"/>
        <v>0</v>
      </c>
      <c r="BZ21" s="81">
        <f t="shared" si="77"/>
        <v>0</v>
      </c>
      <c r="CA21" s="81">
        <f t="shared" si="77"/>
        <v>0</v>
      </c>
      <c r="CB21" s="81">
        <f t="shared" si="77"/>
        <v>52586.539799999999</v>
      </c>
      <c r="CC21" s="62"/>
    </row>
    <row r="24" spans="1:81">
      <c r="A24" s="30"/>
      <c r="B24" s="21"/>
      <c r="C24" s="22"/>
      <c r="D24" s="22"/>
      <c r="E24" s="4"/>
      <c r="F24" s="21"/>
      <c r="G24" s="30"/>
      <c r="H24" s="4"/>
      <c r="I24" s="47"/>
      <c r="J24" s="66"/>
      <c r="K24" s="100"/>
      <c r="L24" s="47"/>
      <c r="M24" s="47"/>
      <c r="N24" s="47"/>
      <c r="O24" s="22"/>
      <c r="P24" s="50"/>
      <c r="Q24" s="51"/>
      <c r="R24" s="52"/>
      <c r="S24" s="53"/>
      <c r="T24" s="54"/>
      <c r="U24" s="54"/>
      <c r="V24" s="22"/>
      <c r="W24" s="82"/>
      <c r="X24" s="55"/>
      <c r="Y24" s="22"/>
      <c r="Z24" s="83"/>
      <c r="AA24" s="24"/>
      <c r="AB24" s="24"/>
      <c r="AC24" s="56"/>
      <c r="AD24" s="26"/>
      <c r="AE24" s="27"/>
      <c r="AF24" s="4"/>
      <c r="AG24" s="28"/>
      <c r="AH24" s="85"/>
      <c r="AI24" s="28"/>
      <c r="AJ24" s="30"/>
      <c r="AK24" s="30"/>
      <c r="AL24" s="31"/>
      <c r="AM24" s="31"/>
      <c r="AN24" s="31"/>
      <c r="AO24" s="31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31"/>
      <c r="BI24" s="56"/>
      <c r="BJ24" s="59"/>
      <c r="BK24" s="56"/>
      <c r="BL24" s="56"/>
      <c r="BM24" s="56"/>
      <c r="BN24" s="56"/>
      <c r="BO24" s="56"/>
      <c r="BP24" s="56"/>
      <c r="BQ24" s="22"/>
      <c r="BR24" s="56"/>
      <c r="BS24" s="56"/>
      <c r="BT24" s="31"/>
      <c r="BU24" s="56"/>
      <c r="BV24" s="56"/>
      <c r="BW24" s="56"/>
      <c r="BX24" s="56"/>
      <c r="BY24" s="61"/>
      <c r="BZ24" s="61"/>
      <c r="CA24" s="61"/>
      <c r="CB24" s="56"/>
      <c r="CC24" s="34"/>
    </row>
    <row r="25" spans="1:81">
      <c r="A25" s="30">
        <f t="shared" ref="A25:A26" si="78">A24+1</f>
        <v>1</v>
      </c>
      <c r="B25" s="21" t="s">
        <v>10</v>
      </c>
      <c r="C25" s="22" t="s">
        <v>93</v>
      </c>
      <c r="D25" s="22" t="s">
        <v>94</v>
      </c>
      <c r="E25" s="4" t="s">
        <v>9</v>
      </c>
      <c r="F25" s="21"/>
      <c r="G25" s="30"/>
      <c r="H25" s="4" t="s">
        <v>9</v>
      </c>
      <c r="I25" s="47"/>
      <c r="J25" s="66"/>
      <c r="K25" s="103" t="s">
        <v>13</v>
      </c>
      <c r="L25" s="47"/>
      <c r="M25" s="47"/>
      <c r="N25" s="47"/>
      <c r="O25" s="22"/>
      <c r="P25" s="50"/>
      <c r="Q25" s="51"/>
      <c r="R25" s="52"/>
      <c r="S25" s="53"/>
      <c r="T25" s="54"/>
      <c r="U25" s="54"/>
      <c r="V25" s="22"/>
      <c r="W25" s="82"/>
      <c r="X25" s="55"/>
      <c r="Y25" s="22"/>
      <c r="Z25" s="83" t="s">
        <v>95</v>
      </c>
      <c r="AA25" s="24"/>
      <c r="AB25" s="24"/>
      <c r="AC25" s="56"/>
      <c r="AD25" s="26"/>
      <c r="AE25" s="27">
        <v>45962</v>
      </c>
      <c r="AF25" s="4">
        <v>31</v>
      </c>
      <c r="AG25" s="28"/>
      <c r="AH25" s="85"/>
      <c r="AI25" s="28"/>
      <c r="AJ25" s="30">
        <f>497.5*26</f>
        <v>12935</v>
      </c>
      <c r="AK25" s="30"/>
      <c r="AL25" s="31">
        <v>1028</v>
      </c>
      <c r="AM25" s="31"/>
      <c r="AN25" s="31"/>
      <c r="AO25" s="31"/>
      <c r="AP25" s="56">
        <f t="shared" ref="AP25:AP29" si="79">SUM(AJ25:AM25)</f>
        <v>13963</v>
      </c>
      <c r="AQ25" s="56">
        <f t="shared" ref="AQ25:AQ29" si="80">ROUNDUP(AJ25/$AE$1*(AF25+AH25),0)</f>
        <v>15423</v>
      </c>
      <c r="AR25" s="56">
        <f t="shared" ref="AR25:AR29" si="81">ROUNDUP(AK25/$AE$1*(AF25+AH25),0)</f>
        <v>0</v>
      </c>
      <c r="AS25" s="56">
        <f t="shared" ref="AS25:AS29" si="82">ROUNDUP(AL25/$AE$1*(AF25+AH25),0)</f>
        <v>1226</v>
      </c>
      <c r="AT25" s="56">
        <f t="shared" ref="AT25:AT29" si="83">ROUNDUP(AM25/$AE$1*(AF25+AH25),0)</f>
        <v>0</v>
      </c>
      <c r="AU25" s="56"/>
      <c r="AV25" s="56">
        <f t="shared" ref="AV25:AV29" si="84">W25*8.33%</f>
        <v>0</v>
      </c>
      <c r="AW25" s="56"/>
      <c r="AX25" s="56"/>
      <c r="AY25" s="56"/>
      <c r="AZ25" s="56"/>
      <c r="BA25" s="56"/>
      <c r="BB25" s="56"/>
      <c r="BC25" s="56"/>
      <c r="BD25" s="56"/>
      <c r="BE25" s="56">
        <f t="shared" ref="BE25:BE29" si="85">SUM(AQ25:BD25)</f>
        <v>16649</v>
      </c>
      <c r="BF25" s="56">
        <f t="shared" ref="BF25:BF29" si="86">ROUNDUP(IF((AQ25+AT25)&gt;=15000,1800,IF((AQ25+AT25)&lt;=14999,((AQ25+AT25)*12%))),0)</f>
        <v>1800</v>
      </c>
      <c r="BG25" s="56">
        <f t="shared" ref="BG25:BG29" si="87">ROUNDUP(((BE25-AZ25-AW25)*0.75%),0)</f>
        <v>125</v>
      </c>
      <c r="BH25" s="31">
        <v>200</v>
      </c>
      <c r="BI25" s="56"/>
      <c r="BJ25" s="59"/>
      <c r="BK25" s="56">
        <f t="shared" ref="BK25:BK29" si="88">ROUNDUP((AI25)*AP25/$AE$1,0)</f>
        <v>0</v>
      </c>
      <c r="BL25" s="56">
        <f t="shared" ref="BL25:BL29" si="89">SUM(BF25:BK25)</f>
        <v>2125</v>
      </c>
      <c r="BM25" s="56">
        <f t="shared" ref="BM25:BM29" si="90">MAX(0,ROUNDUP(BE25-BL25,0))</f>
        <v>14524</v>
      </c>
      <c r="BN25" s="56">
        <f t="shared" ref="BN25:BN29" si="91">ROUNDUP(IF((AQ25+AT25)&gt;=15000,1950,IF((AQ25+AT25)&lt;=14999,((AQ25+AT25)*13%))),0)</f>
        <v>1950</v>
      </c>
      <c r="BO25" s="56">
        <f t="shared" ref="BO25:BO29" si="92">ROUNDUP(((BE25-AZ25-AW25)*3.25%),0)</f>
        <v>542</v>
      </c>
      <c r="BP25" s="56">
        <f t="shared" ref="BP25:BP29" si="93">AQ25*8.33%</f>
        <v>1284.7358999999999</v>
      </c>
      <c r="BQ25" s="22">
        <f t="shared" ref="BQ25:BQ29" si="94">ROUNDUP($BQ$1/$AE$1*AF25,0)</f>
        <v>418</v>
      </c>
      <c r="BR25" s="56"/>
      <c r="BS25" s="56"/>
      <c r="BT25" s="31">
        <f t="shared" ref="BT25:BT29" si="95">ROUNDUP(SUM(AQ25:BD25)*10%+SUM(BN25:BR25)*10%,0)</f>
        <v>2085</v>
      </c>
      <c r="BU25" s="56">
        <f t="shared" ref="BU25:BU29" si="96">BE25+SUM(BN25:BT25)</f>
        <v>22928.7359</v>
      </c>
      <c r="BV25" s="56">
        <f t="shared" ref="BV25:BV29" si="97">BU25*18%</f>
        <v>4127.1724619999995</v>
      </c>
      <c r="BW25" s="56">
        <f t="shared" ref="BW25:BW29" si="98">BJ25</f>
        <v>0</v>
      </c>
      <c r="BX25" s="56">
        <f t="shared" ref="BX25:BX29" si="99">BU25+BV25</f>
        <v>27055.908361999998</v>
      </c>
      <c r="BY25" s="61"/>
      <c r="BZ25" s="61"/>
      <c r="CA25" s="61"/>
      <c r="CB25" s="56">
        <f t="shared" ref="CB25:CB29" si="100">BX25-BV25-BT25</f>
        <v>20843.7359</v>
      </c>
      <c r="CC25" s="34">
        <f t="shared" ref="CC25:CC31" si="101">BU25+BT25</f>
        <v>25013.7359</v>
      </c>
    </row>
    <row r="26" spans="1:81">
      <c r="A26" s="30">
        <f t="shared" si="78"/>
        <v>2</v>
      </c>
      <c r="B26" s="21" t="s">
        <v>10</v>
      </c>
      <c r="C26" s="22" t="s">
        <v>93</v>
      </c>
      <c r="D26" s="22" t="s">
        <v>94</v>
      </c>
      <c r="E26" s="4" t="s">
        <v>9</v>
      </c>
      <c r="F26" s="21"/>
      <c r="G26" s="30"/>
      <c r="H26" s="4" t="s">
        <v>9</v>
      </c>
      <c r="I26" s="47"/>
      <c r="J26" s="66"/>
      <c r="K26" s="103" t="s">
        <v>14</v>
      </c>
      <c r="L26" s="47"/>
      <c r="M26" s="47"/>
      <c r="N26" s="47"/>
      <c r="O26" s="22"/>
      <c r="P26" s="50"/>
      <c r="Q26" s="51"/>
      <c r="R26" s="52"/>
      <c r="S26" s="53"/>
      <c r="T26" s="54"/>
      <c r="U26" s="54"/>
      <c r="V26" s="22"/>
      <c r="W26" s="82"/>
      <c r="X26" s="55"/>
      <c r="Y26" s="22"/>
      <c r="Z26" s="83" t="s">
        <v>95</v>
      </c>
      <c r="AA26" s="24"/>
      <c r="AB26" s="24"/>
      <c r="AC26" s="56"/>
      <c r="AD26" s="26"/>
      <c r="AE26" s="27">
        <v>45962</v>
      </c>
      <c r="AF26" s="4">
        <v>31</v>
      </c>
      <c r="AG26" s="28"/>
      <c r="AH26" s="85"/>
      <c r="AI26" s="28"/>
      <c r="AJ26" s="30">
        <f>497.5*26</f>
        <v>12935</v>
      </c>
      <c r="AK26" s="30"/>
      <c r="AL26" s="31">
        <v>1028</v>
      </c>
      <c r="AM26" s="31"/>
      <c r="AN26" s="31"/>
      <c r="AO26" s="31"/>
      <c r="AP26" s="56">
        <f t="shared" si="79"/>
        <v>13963</v>
      </c>
      <c r="AQ26" s="56">
        <f t="shared" si="80"/>
        <v>15423</v>
      </c>
      <c r="AR26" s="56">
        <f t="shared" si="81"/>
        <v>0</v>
      </c>
      <c r="AS26" s="56">
        <f t="shared" si="82"/>
        <v>1226</v>
      </c>
      <c r="AT26" s="56">
        <f t="shared" si="83"/>
        <v>0</v>
      </c>
      <c r="AU26" s="56"/>
      <c r="AV26" s="56">
        <f t="shared" si="84"/>
        <v>0</v>
      </c>
      <c r="AW26" s="56"/>
      <c r="AX26" s="56"/>
      <c r="AY26" s="56"/>
      <c r="AZ26" s="56"/>
      <c r="BA26" s="56"/>
      <c r="BB26" s="56"/>
      <c r="BC26" s="56"/>
      <c r="BD26" s="56"/>
      <c r="BE26" s="56">
        <f t="shared" si="85"/>
        <v>16649</v>
      </c>
      <c r="BF26" s="56">
        <f t="shared" si="86"/>
        <v>1800</v>
      </c>
      <c r="BG26" s="56">
        <f t="shared" si="87"/>
        <v>125</v>
      </c>
      <c r="BH26" s="31">
        <v>0</v>
      </c>
      <c r="BI26" s="56"/>
      <c r="BJ26" s="59"/>
      <c r="BK26" s="56">
        <f t="shared" si="88"/>
        <v>0</v>
      </c>
      <c r="BL26" s="56">
        <f t="shared" si="89"/>
        <v>1925</v>
      </c>
      <c r="BM26" s="56">
        <f t="shared" si="90"/>
        <v>14724</v>
      </c>
      <c r="BN26" s="56">
        <f t="shared" si="91"/>
        <v>1950</v>
      </c>
      <c r="BO26" s="56">
        <f t="shared" si="92"/>
        <v>542</v>
      </c>
      <c r="BP26" s="56">
        <f t="shared" si="93"/>
        <v>1284.7358999999999</v>
      </c>
      <c r="BQ26" s="22">
        <f t="shared" si="94"/>
        <v>418</v>
      </c>
      <c r="BR26" s="56"/>
      <c r="BS26" s="56"/>
      <c r="BT26" s="31">
        <f t="shared" si="95"/>
        <v>2085</v>
      </c>
      <c r="BU26" s="56">
        <f t="shared" si="96"/>
        <v>22928.7359</v>
      </c>
      <c r="BV26" s="56">
        <f t="shared" si="97"/>
        <v>4127.1724619999995</v>
      </c>
      <c r="BW26" s="56">
        <f t="shared" si="98"/>
        <v>0</v>
      </c>
      <c r="BX26" s="56">
        <f t="shared" si="99"/>
        <v>27055.908361999998</v>
      </c>
      <c r="BY26" s="61"/>
      <c r="BZ26" s="61"/>
      <c r="CA26" s="61"/>
      <c r="CB26" s="56">
        <f t="shared" si="100"/>
        <v>20843.7359</v>
      </c>
      <c r="CC26" s="34">
        <f t="shared" si="101"/>
        <v>25013.7359</v>
      </c>
    </row>
    <row r="27" spans="1:81">
      <c r="A27" s="30">
        <v>3</v>
      </c>
      <c r="B27" s="21" t="s">
        <v>10</v>
      </c>
      <c r="C27" s="22" t="s">
        <v>93</v>
      </c>
      <c r="D27" s="22" t="s">
        <v>94</v>
      </c>
      <c r="E27" s="4" t="s">
        <v>9</v>
      </c>
      <c r="F27" s="21"/>
      <c r="G27" s="30"/>
      <c r="H27" s="4" t="s">
        <v>9</v>
      </c>
      <c r="I27" s="47"/>
      <c r="J27" s="66"/>
      <c r="K27" s="105" t="s">
        <v>101</v>
      </c>
      <c r="L27" s="47"/>
      <c r="M27" s="47"/>
      <c r="N27" s="47"/>
      <c r="O27" s="22"/>
      <c r="P27" s="50"/>
      <c r="Q27" s="51"/>
      <c r="R27" s="52"/>
      <c r="S27" s="53"/>
      <c r="T27" s="54"/>
      <c r="U27" s="54"/>
      <c r="V27" s="22"/>
      <c r="W27" s="82"/>
      <c r="X27" s="55"/>
      <c r="Y27" s="22"/>
      <c r="Z27" s="83" t="s">
        <v>95</v>
      </c>
      <c r="AA27" s="24"/>
      <c r="AB27" s="24"/>
      <c r="AC27" s="56"/>
      <c r="AD27" s="26"/>
      <c r="AE27" s="27">
        <v>45962</v>
      </c>
      <c r="AF27" s="4">
        <v>1</v>
      </c>
      <c r="AG27" s="28"/>
      <c r="AH27" s="85"/>
      <c r="AI27" s="28"/>
      <c r="AJ27" s="30">
        <f t="shared" ref="AJ27:AJ28" si="102">497.5*26</f>
        <v>12935</v>
      </c>
      <c r="AK27" s="30"/>
      <c r="AL27" s="31">
        <v>1028</v>
      </c>
      <c r="AM27" s="31"/>
      <c r="AN27" s="31"/>
      <c r="AO27" s="31"/>
      <c r="AP27" s="56">
        <f t="shared" si="79"/>
        <v>13963</v>
      </c>
      <c r="AQ27" s="56">
        <f t="shared" si="80"/>
        <v>498</v>
      </c>
      <c r="AR27" s="56">
        <f t="shared" si="81"/>
        <v>0</v>
      </c>
      <c r="AS27" s="56">
        <f t="shared" si="82"/>
        <v>40</v>
      </c>
      <c r="AT27" s="56">
        <f t="shared" si="83"/>
        <v>0</v>
      </c>
      <c r="AU27" s="56"/>
      <c r="AV27" s="56">
        <f t="shared" si="84"/>
        <v>0</v>
      </c>
      <c r="AW27" s="56"/>
      <c r="AX27" s="56"/>
      <c r="AY27" s="56"/>
      <c r="AZ27" s="56"/>
      <c r="BA27" s="56"/>
      <c r="BB27" s="56"/>
      <c r="BC27" s="56"/>
      <c r="BD27" s="56"/>
      <c r="BE27" s="56">
        <f t="shared" si="85"/>
        <v>538</v>
      </c>
      <c r="BF27" s="56">
        <f t="shared" si="86"/>
        <v>60</v>
      </c>
      <c r="BG27" s="56">
        <f t="shared" si="87"/>
        <v>5</v>
      </c>
      <c r="BH27" s="31">
        <v>0</v>
      </c>
      <c r="BI27" s="56"/>
      <c r="BJ27" s="59"/>
      <c r="BK27" s="56">
        <f t="shared" si="88"/>
        <v>0</v>
      </c>
      <c r="BL27" s="56">
        <f t="shared" si="89"/>
        <v>65</v>
      </c>
      <c r="BM27" s="56">
        <f t="shared" si="90"/>
        <v>473</v>
      </c>
      <c r="BN27" s="56">
        <f t="shared" si="91"/>
        <v>65</v>
      </c>
      <c r="BO27" s="56">
        <f t="shared" si="92"/>
        <v>18</v>
      </c>
      <c r="BP27" s="56">
        <f t="shared" si="93"/>
        <v>41.483399999999996</v>
      </c>
      <c r="BQ27" s="22">
        <f t="shared" si="94"/>
        <v>14</v>
      </c>
      <c r="BR27" s="56"/>
      <c r="BS27" s="56"/>
      <c r="BT27" s="31">
        <f t="shared" si="95"/>
        <v>68</v>
      </c>
      <c r="BU27" s="56">
        <f t="shared" si="96"/>
        <v>744.48339999999996</v>
      </c>
      <c r="BV27" s="56">
        <f t="shared" si="97"/>
        <v>134.00701199999997</v>
      </c>
      <c r="BW27" s="56">
        <f t="shared" si="98"/>
        <v>0</v>
      </c>
      <c r="BX27" s="56">
        <f t="shared" si="99"/>
        <v>878.49041199999988</v>
      </c>
      <c r="BY27" s="61"/>
      <c r="BZ27" s="61"/>
      <c r="CA27" s="61"/>
      <c r="CB27" s="56">
        <f t="shared" si="100"/>
        <v>676.48339999999985</v>
      </c>
      <c r="CC27" s="34">
        <f t="shared" si="101"/>
        <v>812.48339999999996</v>
      </c>
    </row>
    <row r="28" spans="1:81">
      <c r="A28" s="30">
        <v>4</v>
      </c>
      <c r="B28" s="21" t="s">
        <v>10</v>
      </c>
      <c r="C28" s="22" t="s">
        <v>93</v>
      </c>
      <c r="D28" s="22" t="s">
        <v>94</v>
      </c>
      <c r="E28" s="4" t="s">
        <v>9</v>
      </c>
      <c r="F28" s="21"/>
      <c r="G28" s="30"/>
      <c r="H28" s="4" t="s">
        <v>9</v>
      </c>
      <c r="I28" s="47"/>
      <c r="J28" s="66"/>
      <c r="K28" s="105" t="s">
        <v>104</v>
      </c>
      <c r="L28" s="47"/>
      <c r="M28" s="47"/>
      <c r="N28" s="47"/>
      <c r="O28" s="22"/>
      <c r="P28" s="50"/>
      <c r="Q28" s="51"/>
      <c r="R28" s="52"/>
      <c r="S28" s="53"/>
      <c r="T28" s="54"/>
      <c r="U28" s="54"/>
      <c r="V28" s="22"/>
      <c r="W28" s="82"/>
      <c r="X28" s="55"/>
      <c r="Y28" s="22"/>
      <c r="Z28" s="83" t="s">
        <v>95</v>
      </c>
      <c r="AA28" s="24"/>
      <c r="AB28" s="24"/>
      <c r="AC28" s="56"/>
      <c r="AD28" s="26"/>
      <c r="AE28" s="27">
        <v>45962</v>
      </c>
      <c r="AF28" s="4">
        <v>1</v>
      </c>
      <c r="AG28" s="28"/>
      <c r="AH28" s="85"/>
      <c r="AI28" s="28"/>
      <c r="AJ28" s="30">
        <f t="shared" si="102"/>
        <v>12935</v>
      </c>
      <c r="AK28" s="30"/>
      <c r="AL28" s="31">
        <v>1028</v>
      </c>
      <c r="AM28" s="31"/>
      <c r="AN28" s="31"/>
      <c r="AO28" s="31"/>
      <c r="AP28" s="56">
        <f t="shared" si="79"/>
        <v>13963</v>
      </c>
      <c r="AQ28" s="56">
        <f t="shared" si="80"/>
        <v>498</v>
      </c>
      <c r="AR28" s="56">
        <f t="shared" si="81"/>
        <v>0</v>
      </c>
      <c r="AS28" s="56">
        <f t="shared" si="82"/>
        <v>40</v>
      </c>
      <c r="AT28" s="56">
        <f t="shared" si="83"/>
        <v>0</v>
      </c>
      <c r="AU28" s="56"/>
      <c r="AV28" s="56">
        <f t="shared" si="84"/>
        <v>0</v>
      </c>
      <c r="AW28" s="56"/>
      <c r="AX28" s="56"/>
      <c r="AY28" s="56"/>
      <c r="AZ28" s="56"/>
      <c r="BA28" s="56"/>
      <c r="BB28" s="56"/>
      <c r="BC28" s="56"/>
      <c r="BD28" s="56"/>
      <c r="BE28" s="56">
        <f t="shared" si="85"/>
        <v>538</v>
      </c>
      <c r="BF28" s="56">
        <f t="shared" si="86"/>
        <v>60</v>
      </c>
      <c r="BG28" s="56">
        <f t="shared" si="87"/>
        <v>5</v>
      </c>
      <c r="BH28" s="31">
        <v>0</v>
      </c>
      <c r="BI28" s="56"/>
      <c r="BJ28" s="59"/>
      <c r="BK28" s="56">
        <f t="shared" si="88"/>
        <v>0</v>
      </c>
      <c r="BL28" s="56">
        <f t="shared" si="89"/>
        <v>65</v>
      </c>
      <c r="BM28" s="56">
        <f t="shared" si="90"/>
        <v>473</v>
      </c>
      <c r="BN28" s="56">
        <f t="shared" si="91"/>
        <v>65</v>
      </c>
      <c r="BO28" s="56">
        <f t="shared" si="92"/>
        <v>18</v>
      </c>
      <c r="BP28" s="56">
        <f t="shared" si="93"/>
        <v>41.483399999999996</v>
      </c>
      <c r="BQ28" s="22">
        <f t="shared" si="94"/>
        <v>14</v>
      </c>
      <c r="BR28" s="56"/>
      <c r="BS28" s="56"/>
      <c r="BT28" s="31">
        <f t="shared" si="95"/>
        <v>68</v>
      </c>
      <c r="BU28" s="56">
        <f t="shared" si="96"/>
        <v>744.48339999999996</v>
      </c>
      <c r="BV28" s="56">
        <f t="shared" si="97"/>
        <v>134.00701199999997</v>
      </c>
      <c r="BW28" s="56">
        <f t="shared" si="98"/>
        <v>0</v>
      </c>
      <c r="BX28" s="56">
        <f t="shared" si="99"/>
        <v>878.49041199999988</v>
      </c>
      <c r="BY28" s="61"/>
      <c r="BZ28" s="61"/>
      <c r="CA28" s="61"/>
      <c r="CB28" s="56">
        <f t="shared" si="100"/>
        <v>676.48339999999985</v>
      </c>
      <c r="CC28" s="34">
        <f t="shared" si="101"/>
        <v>812.48339999999996</v>
      </c>
    </row>
    <row r="29" spans="1:81">
      <c r="A29" s="30"/>
      <c r="B29" s="21"/>
      <c r="C29" s="22"/>
      <c r="D29" s="22"/>
      <c r="E29" s="4"/>
      <c r="F29" s="21"/>
      <c r="G29" s="30"/>
      <c r="H29" s="4"/>
      <c r="I29" s="47"/>
      <c r="J29" s="66"/>
      <c r="K29" s="100"/>
      <c r="L29" s="47"/>
      <c r="M29" s="47"/>
      <c r="N29" s="47"/>
      <c r="O29" s="22"/>
      <c r="P29" s="50"/>
      <c r="Q29" s="51"/>
      <c r="R29" s="52"/>
      <c r="S29" s="53"/>
      <c r="T29" s="54"/>
      <c r="U29" s="54"/>
      <c r="V29" s="22"/>
      <c r="W29" s="82"/>
      <c r="X29" s="55"/>
      <c r="Y29" s="22"/>
      <c r="Z29" s="83"/>
      <c r="AA29" s="24"/>
      <c r="AB29" s="24"/>
      <c r="AC29" s="56"/>
      <c r="AD29" s="26"/>
      <c r="AE29" s="27"/>
      <c r="AF29" s="4"/>
      <c r="AG29" s="28"/>
      <c r="AH29" s="85"/>
      <c r="AI29" s="28"/>
      <c r="AJ29" s="30"/>
      <c r="AK29" s="30"/>
      <c r="AL29" s="31"/>
      <c r="AM29" s="31"/>
      <c r="AN29" s="31"/>
      <c r="AO29" s="31"/>
      <c r="AP29" s="56">
        <f t="shared" si="79"/>
        <v>0</v>
      </c>
      <c r="AQ29" s="56">
        <f t="shared" si="80"/>
        <v>0</v>
      </c>
      <c r="AR29" s="56">
        <f t="shared" si="81"/>
        <v>0</v>
      </c>
      <c r="AS29" s="56">
        <f t="shared" si="82"/>
        <v>0</v>
      </c>
      <c r="AT29" s="56">
        <f t="shared" si="83"/>
        <v>0</v>
      </c>
      <c r="AU29" s="56"/>
      <c r="AV29" s="56">
        <f t="shared" si="84"/>
        <v>0</v>
      </c>
      <c r="AW29" s="56"/>
      <c r="AX29" s="56"/>
      <c r="AY29" s="56"/>
      <c r="AZ29" s="56"/>
      <c r="BA29" s="56"/>
      <c r="BB29" s="56"/>
      <c r="BC29" s="56"/>
      <c r="BD29" s="56"/>
      <c r="BE29" s="56">
        <f t="shared" si="85"/>
        <v>0</v>
      </c>
      <c r="BF29" s="56">
        <f t="shared" si="86"/>
        <v>0</v>
      </c>
      <c r="BG29" s="56">
        <f t="shared" si="87"/>
        <v>0</v>
      </c>
      <c r="BH29" s="31">
        <v>0</v>
      </c>
      <c r="BI29" s="56"/>
      <c r="BJ29" s="59"/>
      <c r="BK29" s="56">
        <f t="shared" si="88"/>
        <v>0</v>
      </c>
      <c r="BL29" s="56">
        <f t="shared" si="89"/>
        <v>0</v>
      </c>
      <c r="BM29" s="56">
        <f t="shared" si="90"/>
        <v>0</v>
      </c>
      <c r="BN29" s="56">
        <f t="shared" si="91"/>
        <v>0</v>
      </c>
      <c r="BO29" s="56">
        <f t="shared" si="92"/>
        <v>0</v>
      </c>
      <c r="BP29" s="56">
        <f t="shared" si="93"/>
        <v>0</v>
      </c>
      <c r="BQ29" s="22">
        <f t="shared" si="94"/>
        <v>0</v>
      </c>
      <c r="BR29" s="56"/>
      <c r="BS29" s="56"/>
      <c r="BT29" s="31">
        <f t="shared" si="95"/>
        <v>0</v>
      </c>
      <c r="BU29" s="56">
        <f t="shared" si="96"/>
        <v>0</v>
      </c>
      <c r="BV29" s="56">
        <f t="shared" si="97"/>
        <v>0</v>
      </c>
      <c r="BW29" s="56">
        <f t="shared" si="98"/>
        <v>0</v>
      </c>
      <c r="BX29" s="56">
        <f t="shared" si="99"/>
        <v>0</v>
      </c>
      <c r="BY29" s="61"/>
      <c r="BZ29" s="61"/>
      <c r="CA29" s="61"/>
      <c r="CB29" s="56">
        <f t="shared" si="100"/>
        <v>0</v>
      </c>
      <c r="CC29" s="34">
        <f t="shared" si="101"/>
        <v>0</v>
      </c>
    </row>
    <row r="30" spans="1:81">
      <c r="A30" s="30"/>
      <c r="B30" s="21"/>
      <c r="C30" s="22"/>
      <c r="D30" s="22"/>
      <c r="E30" s="4"/>
      <c r="F30" s="21"/>
      <c r="G30" s="30"/>
      <c r="H30" s="4"/>
      <c r="I30" s="47"/>
      <c r="J30" s="66"/>
      <c r="K30" s="100"/>
      <c r="L30" s="47"/>
      <c r="M30" s="47"/>
      <c r="N30" s="47"/>
      <c r="O30" s="22"/>
      <c r="P30" s="50"/>
      <c r="Q30" s="51"/>
      <c r="R30" s="52"/>
      <c r="S30" s="53"/>
      <c r="T30" s="54"/>
      <c r="U30" s="54"/>
      <c r="V30" s="22"/>
      <c r="W30" s="82"/>
      <c r="X30" s="55"/>
      <c r="Y30" s="22"/>
      <c r="Z30" s="83"/>
      <c r="AA30" s="24"/>
      <c r="AB30" s="24"/>
      <c r="AC30" s="56"/>
      <c r="AD30" s="26"/>
      <c r="AE30" s="27"/>
      <c r="AF30" s="4"/>
      <c r="AG30" s="28"/>
      <c r="AH30" s="85"/>
      <c r="AI30" s="28"/>
      <c r="AJ30" s="30"/>
      <c r="AK30" s="30"/>
      <c r="AL30" s="31"/>
      <c r="AM30" s="31"/>
      <c r="AN30" s="31"/>
      <c r="AO30" s="31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31"/>
      <c r="BI30" s="56"/>
      <c r="BJ30" s="59"/>
      <c r="BK30" s="56"/>
      <c r="BL30" s="56"/>
      <c r="BM30" s="56"/>
      <c r="BN30" s="56"/>
      <c r="BO30" s="56"/>
      <c r="BP30" s="56"/>
      <c r="BQ30" s="22"/>
      <c r="BR30" s="56"/>
      <c r="BS30" s="56"/>
      <c r="BT30" s="31"/>
      <c r="BU30" s="56"/>
      <c r="BV30" s="56"/>
      <c r="BW30" s="56"/>
      <c r="BX30" s="56"/>
      <c r="BY30" s="61"/>
      <c r="BZ30" s="61"/>
      <c r="CA30" s="61"/>
      <c r="CB30" s="56"/>
      <c r="CC30" s="34">
        <f t="shared" si="101"/>
        <v>0</v>
      </c>
    </row>
    <row r="31" spans="1:81">
      <c r="A31" s="30"/>
      <c r="B31" s="21"/>
      <c r="C31" s="22"/>
      <c r="D31" s="22"/>
      <c r="E31" s="4"/>
      <c r="F31" s="21"/>
      <c r="G31" s="30"/>
      <c r="H31" s="4"/>
      <c r="I31" s="47"/>
      <c r="J31" s="66"/>
      <c r="K31" s="100"/>
      <c r="L31" s="47"/>
      <c r="M31" s="47"/>
      <c r="N31" s="47"/>
      <c r="O31" s="22"/>
      <c r="P31" s="50"/>
      <c r="Q31" s="51"/>
      <c r="R31" s="52"/>
      <c r="S31" s="53"/>
      <c r="T31" s="54"/>
      <c r="U31" s="54"/>
      <c r="V31" s="22"/>
      <c r="W31" s="82"/>
      <c r="X31" s="55"/>
      <c r="Y31" s="22"/>
      <c r="Z31" s="83"/>
      <c r="AA31" s="24"/>
      <c r="AB31" s="24"/>
      <c r="AC31" s="56"/>
      <c r="AD31" s="26"/>
      <c r="AE31" s="27"/>
      <c r="AF31" s="4"/>
      <c r="AG31" s="28"/>
      <c r="AH31" s="85"/>
      <c r="AI31" s="28"/>
      <c r="AJ31" s="30"/>
      <c r="AK31" s="30"/>
      <c r="AL31" s="31"/>
      <c r="AM31" s="31"/>
      <c r="AN31" s="31"/>
      <c r="AO31" s="31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31"/>
      <c r="BI31" s="56"/>
      <c r="BJ31" s="59"/>
      <c r="BK31" s="56"/>
      <c r="BL31" s="56"/>
      <c r="BM31" s="56"/>
      <c r="BN31" s="56"/>
      <c r="BO31" s="56"/>
      <c r="BP31" s="56"/>
      <c r="BQ31" s="22"/>
      <c r="BR31" s="56"/>
      <c r="BS31" s="56"/>
      <c r="BT31" s="31"/>
      <c r="BU31" s="56"/>
      <c r="BV31" s="56"/>
      <c r="BW31" s="56"/>
      <c r="BX31" s="56"/>
      <c r="BY31" s="61"/>
      <c r="BZ31" s="61"/>
      <c r="CA31" s="61"/>
      <c r="CB31" s="56"/>
      <c r="CC31" s="34">
        <f t="shared" si="101"/>
        <v>0</v>
      </c>
    </row>
    <row r="32" spans="1:81" ht="13.9" thickBot="1">
      <c r="F32" s="86"/>
      <c r="G32" s="87"/>
      <c r="H32" s="88"/>
      <c r="I32" s="89"/>
      <c r="J32" s="90"/>
      <c r="K32" s="91"/>
      <c r="L32" s="89"/>
      <c r="M32" s="89"/>
      <c r="N32" s="89"/>
      <c r="O32" s="88"/>
      <c r="P32" s="92"/>
      <c r="Q32" s="93"/>
      <c r="R32" s="94"/>
      <c r="S32" s="95"/>
      <c r="T32" s="95"/>
      <c r="U32" s="95"/>
      <c r="V32" s="88"/>
      <c r="W32" s="88"/>
      <c r="X32" s="96"/>
      <c r="Y32" s="88"/>
      <c r="Z32" s="91"/>
      <c r="AA32" s="88"/>
      <c r="AB32" s="88"/>
      <c r="AC32" s="97"/>
      <c r="AD32" s="98"/>
      <c r="AE32" s="99"/>
      <c r="AF32" s="102">
        <f>SUM(AF24:AF31)</f>
        <v>64</v>
      </c>
      <c r="AG32" s="81">
        <f>SUM(AG10:AG31)</f>
        <v>0</v>
      </c>
      <c r="AH32" s="81">
        <f>SUM(AH10:AH31)</f>
        <v>0</v>
      </c>
      <c r="AI32" s="81">
        <f>SUM(AI10:AI31)</f>
        <v>0</v>
      </c>
      <c r="AJ32" s="81">
        <f t="shared" ref="AJ32:CB32" si="103">SUM(AJ24:AJ31)</f>
        <v>51740</v>
      </c>
      <c r="AK32" s="81">
        <f t="shared" si="103"/>
        <v>0</v>
      </c>
      <c r="AL32" s="81">
        <f t="shared" si="103"/>
        <v>4112</v>
      </c>
      <c r="AM32" s="81">
        <f t="shared" si="103"/>
        <v>0</v>
      </c>
      <c r="AN32" s="81">
        <f t="shared" si="103"/>
        <v>0</v>
      </c>
      <c r="AO32" s="81">
        <f t="shared" si="103"/>
        <v>0</v>
      </c>
      <c r="AP32" s="81">
        <f t="shared" si="103"/>
        <v>55852</v>
      </c>
      <c r="AQ32" s="81">
        <f t="shared" si="103"/>
        <v>31842</v>
      </c>
      <c r="AR32" s="81">
        <f t="shared" si="103"/>
        <v>0</v>
      </c>
      <c r="AS32" s="81">
        <f t="shared" si="103"/>
        <v>2532</v>
      </c>
      <c r="AT32" s="81">
        <f t="shared" si="103"/>
        <v>0</v>
      </c>
      <c r="AU32" s="81">
        <f t="shared" si="103"/>
        <v>0</v>
      </c>
      <c r="AV32" s="81">
        <f t="shared" si="103"/>
        <v>0</v>
      </c>
      <c r="AW32" s="81">
        <f t="shared" si="103"/>
        <v>0</v>
      </c>
      <c r="AX32" s="81">
        <f t="shared" si="103"/>
        <v>0</v>
      </c>
      <c r="AY32" s="81">
        <f t="shared" si="103"/>
        <v>0</v>
      </c>
      <c r="AZ32" s="81">
        <f t="shared" si="103"/>
        <v>0</v>
      </c>
      <c r="BA32" s="81">
        <f t="shared" si="103"/>
        <v>0</v>
      </c>
      <c r="BB32" s="81">
        <f t="shared" si="103"/>
        <v>0</v>
      </c>
      <c r="BC32" s="81">
        <f t="shared" si="103"/>
        <v>0</v>
      </c>
      <c r="BD32" s="81">
        <f t="shared" si="103"/>
        <v>0</v>
      </c>
      <c r="BE32" s="81">
        <f t="shared" si="103"/>
        <v>34374</v>
      </c>
      <c r="BF32" s="81">
        <f t="shared" si="103"/>
        <v>3720</v>
      </c>
      <c r="BG32" s="81">
        <f t="shared" si="103"/>
        <v>260</v>
      </c>
      <c r="BH32" s="81">
        <f t="shared" si="103"/>
        <v>200</v>
      </c>
      <c r="BI32" s="81">
        <f t="shared" si="103"/>
        <v>0</v>
      </c>
      <c r="BJ32" s="81">
        <f t="shared" si="103"/>
        <v>0</v>
      </c>
      <c r="BK32" s="81">
        <f t="shared" si="103"/>
        <v>0</v>
      </c>
      <c r="BL32" s="81">
        <f t="shared" si="103"/>
        <v>4180</v>
      </c>
      <c r="BM32" s="81">
        <f t="shared" si="103"/>
        <v>30194</v>
      </c>
      <c r="BN32" s="81">
        <f t="shared" si="103"/>
        <v>4030</v>
      </c>
      <c r="BO32" s="81">
        <f t="shared" si="103"/>
        <v>1120</v>
      </c>
      <c r="BP32" s="81">
        <f t="shared" si="103"/>
        <v>2652.4386</v>
      </c>
      <c r="BQ32" s="81">
        <f t="shared" si="103"/>
        <v>864</v>
      </c>
      <c r="BR32" s="81">
        <f t="shared" si="103"/>
        <v>0</v>
      </c>
      <c r="BS32" s="81">
        <f t="shared" si="103"/>
        <v>0</v>
      </c>
      <c r="BT32" s="81">
        <f t="shared" si="103"/>
        <v>4306</v>
      </c>
      <c r="BU32" s="81">
        <f t="shared" si="103"/>
        <v>47346.438599999994</v>
      </c>
      <c r="BV32" s="81">
        <f t="shared" si="103"/>
        <v>8522.3589479999991</v>
      </c>
      <c r="BW32" s="81">
        <f t="shared" si="103"/>
        <v>0</v>
      </c>
      <c r="BX32" s="81">
        <f t="shared" si="103"/>
        <v>55868.797547999995</v>
      </c>
      <c r="BY32" s="81">
        <f t="shared" si="103"/>
        <v>0</v>
      </c>
      <c r="BZ32" s="81">
        <f t="shared" si="103"/>
        <v>0</v>
      </c>
      <c r="CA32" s="81">
        <f t="shared" si="103"/>
        <v>0</v>
      </c>
      <c r="CB32" s="81">
        <f t="shared" si="103"/>
        <v>43040.438599999994</v>
      </c>
      <c r="CC32" s="62"/>
    </row>
    <row r="33" spans="1:81">
      <c r="A33" s="30"/>
      <c r="B33" s="21"/>
      <c r="C33" s="22"/>
      <c r="D33" s="22"/>
      <c r="E33" s="4"/>
      <c r="F33" s="21"/>
      <c r="G33" s="30"/>
      <c r="H33" s="4"/>
      <c r="I33" s="47"/>
      <c r="J33" s="66"/>
      <c r="K33" s="100"/>
      <c r="L33" s="47"/>
      <c r="M33" s="47"/>
      <c r="N33" s="47"/>
      <c r="O33" s="22"/>
      <c r="P33" s="50"/>
      <c r="Q33" s="51"/>
      <c r="R33" s="52"/>
      <c r="S33" s="53"/>
      <c r="T33" s="54"/>
      <c r="U33" s="54"/>
      <c r="V33" s="22"/>
      <c r="W33" s="82"/>
      <c r="X33" s="55"/>
      <c r="Y33" s="22"/>
      <c r="Z33" s="83"/>
      <c r="AA33" s="24"/>
      <c r="AB33" s="24"/>
      <c r="AC33" s="56"/>
      <c r="AD33" s="26"/>
      <c r="AE33" s="27"/>
      <c r="AF33" s="4"/>
      <c r="AG33" s="28"/>
      <c r="AH33" s="85"/>
      <c r="AI33" s="28"/>
      <c r="AJ33" s="30"/>
      <c r="AK33" s="30"/>
      <c r="AL33" s="31"/>
      <c r="AM33" s="31"/>
      <c r="AN33" s="31"/>
      <c r="AO33" s="31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31"/>
      <c r="BI33" s="56"/>
      <c r="BJ33" s="59"/>
      <c r="BK33" s="56"/>
      <c r="BL33" s="56"/>
      <c r="BM33" s="56"/>
      <c r="BN33" s="56"/>
      <c r="BO33" s="56"/>
      <c r="BP33" s="56"/>
      <c r="BQ33" s="22"/>
      <c r="BR33" s="56"/>
      <c r="BS33" s="56"/>
      <c r="BT33" s="31"/>
      <c r="BU33" s="56"/>
      <c r="BV33" s="56"/>
      <c r="BW33" s="56"/>
      <c r="BX33" s="56"/>
      <c r="BY33" s="61"/>
      <c r="BZ33" s="61"/>
      <c r="CA33" s="61"/>
      <c r="CB33" s="56"/>
      <c r="CC33" s="34"/>
    </row>
    <row r="34" spans="1:81">
      <c r="A34" s="30">
        <f t="shared" ref="A34:A35" si="104">A33+1</f>
        <v>1</v>
      </c>
      <c r="B34" s="21" t="s">
        <v>10</v>
      </c>
      <c r="C34" s="22" t="s">
        <v>93</v>
      </c>
      <c r="D34" s="22" t="s">
        <v>94</v>
      </c>
      <c r="E34" s="4" t="s">
        <v>114</v>
      </c>
      <c r="F34" s="21"/>
      <c r="G34" s="30"/>
      <c r="H34" s="4" t="s">
        <v>114</v>
      </c>
      <c r="I34" s="47"/>
      <c r="J34" s="66"/>
      <c r="K34" s="103" t="s">
        <v>107</v>
      </c>
      <c r="L34" s="47"/>
      <c r="M34" s="47"/>
      <c r="N34" s="47"/>
      <c r="O34" s="22"/>
      <c r="P34" s="50"/>
      <c r="Q34" s="51"/>
      <c r="R34" s="52"/>
      <c r="S34" s="53"/>
      <c r="T34" s="54"/>
      <c r="U34" s="54"/>
      <c r="V34" s="22"/>
      <c r="W34" s="82"/>
      <c r="X34" s="55"/>
      <c r="Y34" s="22"/>
      <c r="Z34" s="83" t="s">
        <v>95</v>
      </c>
      <c r="AA34" s="24"/>
      <c r="AB34" s="24"/>
      <c r="AC34" s="56"/>
      <c r="AD34" s="26"/>
      <c r="AE34" s="27">
        <v>45962</v>
      </c>
      <c r="AF34" s="4">
        <v>6</v>
      </c>
      <c r="AG34" s="28"/>
      <c r="AH34" s="85"/>
      <c r="AI34" s="28"/>
      <c r="AJ34" s="30">
        <f>497.5*26</f>
        <v>12935</v>
      </c>
      <c r="AK34" s="30"/>
      <c r="AL34" s="31">
        <v>1028</v>
      </c>
      <c r="AM34" s="31"/>
      <c r="AN34" s="31"/>
      <c r="AO34" s="31"/>
      <c r="AP34" s="56">
        <f t="shared" ref="AP34:AP38" si="105">SUM(AJ34:AM34)</f>
        <v>13963</v>
      </c>
      <c r="AQ34" s="56">
        <f t="shared" ref="AQ34:AQ38" si="106">ROUNDUP(AJ34/$AE$1*(AF34+AH34),0)</f>
        <v>2985</v>
      </c>
      <c r="AR34" s="56">
        <f t="shared" ref="AR34:AR38" si="107">ROUNDUP(AK34/$AE$1*(AF34+AH34),0)</f>
        <v>0</v>
      </c>
      <c r="AS34" s="56">
        <f t="shared" ref="AS34:AS38" si="108">ROUNDUP(AL34/$AE$1*(AF34+AH34),0)</f>
        <v>238</v>
      </c>
      <c r="AT34" s="56">
        <f t="shared" ref="AT34:AT38" si="109">ROUNDUP(AM34/$AE$1*(AF34+AH34),0)</f>
        <v>0</v>
      </c>
      <c r="AU34" s="56"/>
      <c r="AV34" s="56">
        <f t="shared" ref="AV34:AV38" si="110">W34*8.33%</f>
        <v>0</v>
      </c>
      <c r="AW34" s="56"/>
      <c r="AX34" s="56"/>
      <c r="AY34" s="56"/>
      <c r="AZ34" s="56"/>
      <c r="BA34" s="56"/>
      <c r="BB34" s="56"/>
      <c r="BC34" s="56"/>
      <c r="BD34" s="56"/>
      <c r="BE34" s="56">
        <f t="shared" ref="BE34:BE38" si="111">SUM(AQ34:BD34)</f>
        <v>3223</v>
      </c>
      <c r="BF34" s="56">
        <f t="shared" ref="BF34:BF38" si="112">ROUNDUP(IF((AQ34+AT34)&gt;=15000,1800,IF((AQ34+AT34)&lt;=14999,((AQ34+AT34)*12%))),0)</f>
        <v>359</v>
      </c>
      <c r="BG34" s="56">
        <f t="shared" ref="BG34:BG38" si="113">ROUNDUP(((BE34-AZ34-AW34)*0.75%),0)</f>
        <v>25</v>
      </c>
      <c r="BH34" s="31">
        <v>200</v>
      </c>
      <c r="BI34" s="56"/>
      <c r="BJ34" s="59"/>
      <c r="BK34" s="56">
        <f t="shared" ref="BK34:BK38" si="114">ROUNDUP((AI34)*AP34/$AE$1,0)</f>
        <v>0</v>
      </c>
      <c r="BL34" s="56">
        <f t="shared" ref="BL34:BL38" si="115">SUM(BF34:BK34)</f>
        <v>584</v>
      </c>
      <c r="BM34" s="56">
        <f t="shared" ref="BM34:BM38" si="116">MAX(0,ROUNDUP(BE34-BL34,0))</f>
        <v>2639</v>
      </c>
      <c r="BN34" s="56">
        <f t="shared" ref="BN34:BN38" si="117">ROUNDUP(IF((AQ34+AT34)&gt;=15000,1950,IF((AQ34+AT34)&lt;=14999,((AQ34+AT34)*13%))),0)</f>
        <v>389</v>
      </c>
      <c r="BO34" s="56">
        <f t="shared" ref="BO34:BO38" si="118">ROUNDUP(((BE34-AZ34-AW34)*3.25%),0)</f>
        <v>105</v>
      </c>
      <c r="BP34" s="56">
        <f t="shared" ref="BP34:BP38" si="119">AQ34*8.33%</f>
        <v>248.65049999999999</v>
      </c>
      <c r="BQ34" s="22">
        <f t="shared" ref="BQ34:BQ38" si="120">ROUNDUP($BQ$1/$AE$1*AF34,0)</f>
        <v>81</v>
      </c>
      <c r="BR34" s="56"/>
      <c r="BS34" s="56"/>
      <c r="BT34" s="31">
        <f t="shared" ref="BT34:BT38" si="121">ROUNDUP(SUM(AQ34:BD34)*10%+SUM(BN34:BR34)*10%,0)</f>
        <v>405</v>
      </c>
      <c r="BU34" s="56">
        <f t="shared" ref="BU34:BU38" si="122">BE34+SUM(BN34:BT34)</f>
        <v>4451.6504999999997</v>
      </c>
      <c r="BV34" s="56">
        <f t="shared" ref="BV34:BV38" si="123">BU34*18%</f>
        <v>801.29708999999991</v>
      </c>
      <c r="BW34" s="56">
        <f t="shared" ref="BW34:BW38" si="124">BJ34</f>
        <v>0</v>
      </c>
      <c r="BX34" s="56">
        <f t="shared" ref="BX34:BX38" si="125">BU34+BV34</f>
        <v>5252.9475899999998</v>
      </c>
      <c r="BY34" s="61"/>
      <c r="BZ34" s="61"/>
      <c r="CA34" s="61"/>
      <c r="CB34" s="56">
        <f t="shared" ref="CB34:CB38" si="126">BX34-BV34-BT34</f>
        <v>4046.6504999999997</v>
      </c>
      <c r="CC34" s="34">
        <f t="shared" ref="CC34:CC40" si="127">BU34+BT34</f>
        <v>4856.6504999999997</v>
      </c>
    </row>
    <row r="35" spans="1:81">
      <c r="A35" s="30">
        <f t="shared" si="104"/>
        <v>2</v>
      </c>
      <c r="B35" s="21" t="s">
        <v>10</v>
      </c>
      <c r="C35" s="22" t="s">
        <v>93</v>
      </c>
      <c r="D35" s="22" t="s">
        <v>94</v>
      </c>
      <c r="E35" s="4" t="s">
        <v>114</v>
      </c>
      <c r="F35" s="21"/>
      <c r="G35" s="30"/>
      <c r="H35" s="4" t="s">
        <v>114</v>
      </c>
      <c r="I35" s="47"/>
      <c r="J35" s="66"/>
      <c r="K35" s="103" t="s">
        <v>115</v>
      </c>
      <c r="L35" s="47"/>
      <c r="M35" s="47"/>
      <c r="N35" s="47"/>
      <c r="O35" s="22"/>
      <c r="P35" s="50"/>
      <c r="Q35" s="51"/>
      <c r="R35" s="52"/>
      <c r="S35" s="53"/>
      <c r="T35" s="54"/>
      <c r="U35" s="54"/>
      <c r="V35" s="22"/>
      <c r="W35" s="82"/>
      <c r="X35" s="55"/>
      <c r="Y35" s="22"/>
      <c r="Z35" s="83" t="s">
        <v>95</v>
      </c>
      <c r="AA35" s="24"/>
      <c r="AB35" s="24"/>
      <c r="AC35" s="56"/>
      <c r="AD35" s="26"/>
      <c r="AE35" s="27">
        <v>45962</v>
      </c>
      <c r="AF35" s="4">
        <v>17</v>
      </c>
      <c r="AG35" s="28"/>
      <c r="AH35" s="85"/>
      <c r="AI35" s="28"/>
      <c r="AJ35" s="30">
        <f>497.5*26</f>
        <v>12935</v>
      </c>
      <c r="AK35" s="30"/>
      <c r="AL35" s="31">
        <v>1028</v>
      </c>
      <c r="AM35" s="31"/>
      <c r="AN35" s="31"/>
      <c r="AO35" s="31"/>
      <c r="AP35" s="56">
        <f t="shared" si="105"/>
        <v>13963</v>
      </c>
      <c r="AQ35" s="56">
        <f t="shared" si="106"/>
        <v>8458</v>
      </c>
      <c r="AR35" s="56">
        <f t="shared" si="107"/>
        <v>0</v>
      </c>
      <c r="AS35" s="56">
        <f t="shared" si="108"/>
        <v>673</v>
      </c>
      <c r="AT35" s="56">
        <f t="shared" si="109"/>
        <v>0</v>
      </c>
      <c r="AU35" s="56"/>
      <c r="AV35" s="56">
        <f t="shared" si="110"/>
        <v>0</v>
      </c>
      <c r="AW35" s="56"/>
      <c r="AX35" s="56"/>
      <c r="AY35" s="56"/>
      <c r="AZ35" s="56"/>
      <c r="BA35" s="56"/>
      <c r="BB35" s="56"/>
      <c r="BC35" s="56"/>
      <c r="BD35" s="56"/>
      <c r="BE35" s="56">
        <f t="shared" si="111"/>
        <v>9131</v>
      </c>
      <c r="BF35" s="56">
        <f t="shared" si="112"/>
        <v>1015</v>
      </c>
      <c r="BG35" s="56">
        <f t="shared" si="113"/>
        <v>69</v>
      </c>
      <c r="BH35" s="31">
        <v>0</v>
      </c>
      <c r="BI35" s="56"/>
      <c r="BJ35" s="59"/>
      <c r="BK35" s="56">
        <f t="shared" si="114"/>
        <v>0</v>
      </c>
      <c r="BL35" s="56">
        <f t="shared" si="115"/>
        <v>1084</v>
      </c>
      <c r="BM35" s="56">
        <f t="shared" si="116"/>
        <v>8047</v>
      </c>
      <c r="BN35" s="56">
        <f t="shared" si="117"/>
        <v>1100</v>
      </c>
      <c r="BO35" s="56">
        <f t="shared" si="118"/>
        <v>297</v>
      </c>
      <c r="BP35" s="56">
        <f t="shared" si="119"/>
        <v>704.55139999999994</v>
      </c>
      <c r="BQ35" s="22">
        <f t="shared" si="120"/>
        <v>229</v>
      </c>
      <c r="BR35" s="56"/>
      <c r="BS35" s="56"/>
      <c r="BT35" s="31">
        <f t="shared" si="121"/>
        <v>1147</v>
      </c>
      <c r="BU35" s="56">
        <f t="shared" si="122"/>
        <v>12608.5514</v>
      </c>
      <c r="BV35" s="56">
        <f t="shared" si="123"/>
        <v>2269.539252</v>
      </c>
      <c r="BW35" s="56">
        <f t="shared" si="124"/>
        <v>0</v>
      </c>
      <c r="BX35" s="56">
        <f t="shared" si="125"/>
        <v>14878.090652000001</v>
      </c>
      <c r="BY35" s="61"/>
      <c r="BZ35" s="61"/>
      <c r="CA35" s="61"/>
      <c r="CB35" s="56">
        <f t="shared" si="126"/>
        <v>11461.5514</v>
      </c>
      <c r="CC35" s="34">
        <f t="shared" si="127"/>
        <v>13755.5514</v>
      </c>
    </row>
    <row r="36" spans="1:81">
      <c r="A36" s="30">
        <v>3</v>
      </c>
      <c r="B36" s="21" t="s">
        <v>10</v>
      </c>
      <c r="C36" s="22" t="s">
        <v>93</v>
      </c>
      <c r="D36" s="22" t="s">
        <v>94</v>
      </c>
      <c r="E36" s="4" t="s">
        <v>114</v>
      </c>
      <c r="F36" s="21"/>
      <c r="G36" s="30"/>
      <c r="H36" s="4" t="s">
        <v>114</v>
      </c>
      <c r="I36" s="47"/>
      <c r="J36" s="66"/>
      <c r="K36" s="105" t="s">
        <v>116</v>
      </c>
      <c r="L36" s="47"/>
      <c r="M36" s="47"/>
      <c r="N36" s="47"/>
      <c r="O36" s="22"/>
      <c r="P36" s="50"/>
      <c r="Q36" s="51"/>
      <c r="R36" s="52"/>
      <c r="S36" s="53"/>
      <c r="T36" s="54"/>
      <c r="U36" s="54"/>
      <c r="V36" s="22"/>
      <c r="W36" s="82"/>
      <c r="X36" s="55"/>
      <c r="Y36" s="22"/>
      <c r="Z36" s="83" t="s">
        <v>95</v>
      </c>
      <c r="AA36" s="24"/>
      <c r="AB36" s="24"/>
      <c r="AC36" s="56"/>
      <c r="AD36" s="26"/>
      <c r="AE36" s="27">
        <v>45962</v>
      </c>
      <c r="AF36" s="4">
        <v>8</v>
      </c>
      <c r="AG36" s="28"/>
      <c r="AH36" s="85"/>
      <c r="AI36" s="28"/>
      <c r="AJ36" s="30">
        <f t="shared" ref="AJ36:AJ38" si="128">497.5*26</f>
        <v>12935</v>
      </c>
      <c r="AK36" s="30"/>
      <c r="AL36" s="31">
        <v>1028</v>
      </c>
      <c r="AM36" s="31"/>
      <c r="AN36" s="31"/>
      <c r="AO36" s="31"/>
      <c r="AP36" s="56">
        <f t="shared" si="105"/>
        <v>13963</v>
      </c>
      <c r="AQ36" s="56">
        <f t="shared" si="106"/>
        <v>3980</v>
      </c>
      <c r="AR36" s="56">
        <f t="shared" si="107"/>
        <v>0</v>
      </c>
      <c r="AS36" s="56">
        <f t="shared" si="108"/>
        <v>317</v>
      </c>
      <c r="AT36" s="56">
        <f t="shared" si="109"/>
        <v>0</v>
      </c>
      <c r="AU36" s="56"/>
      <c r="AV36" s="56">
        <f t="shared" si="110"/>
        <v>0</v>
      </c>
      <c r="AW36" s="56"/>
      <c r="AX36" s="56"/>
      <c r="AY36" s="56"/>
      <c r="AZ36" s="56"/>
      <c r="BA36" s="56"/>
      <c r="BB36" s="56"/>
      <c r="BC36" s="56"/>
      <c r="BD36" s="56"/>
      <c r="BE36" s="56">
        <f t="shared" si="111"/>
        <v>4297</v>
      </c>
      <c r="BF36" s="56">
        <f t="shared" si="112"/>
        <v>478</v>
      </c>
      <c r="BG36" s="56">
        <f t="shared" si="113"/>
        <v>33</v>
      </c>
      <c r="BH36" s="31">
        <v>0</v>
      </c>
      <c r="BI36" s="56"/>
      <c r="BJ36" s="59"/>
      <c r="BK36" s="56">
        <f t="shared" si="114"/>
        <v>0</v>
      </c>
      <c r="BL36" s="56">
        <f t="shared" si="115"/>
        <v>511</v>
      </c>
      <c r="BM36" s="56">
        <f t="shared" si="116"/>
        <v>3786</v>
      </c>
      <c r="BN36" s="56">
        <f t="shared" si="117"/>
        <v>518</v>
      </c>
      <c r="BO36" s="56">
        <f t="shared" si="118"/>
        <v>140</v>
      </c>
      <c r="BP36" s="56">
        <f t="shared" si="119"/>
        <v>331.53399999999999</v>
      </c>
      <c r="BQ36" s="22">
        <f t="shared" si="120"/>
        <v>108</v>
      </c>
      <c r="BR36" s="56"/>
      <c r="BS36" s="56"/>
      <c r="BT36" s="31">
        <f t="shared" si="121"/>
        <v>540</v>
      </c>
      <c r="BU36" s="56">
        <f t="shared" si="122"/>
        <v>5934.5339999999997</v>
      </c>
      <c r="BV36" s="56">
        <f t="shared" si="123"/>
        <v>1068.2161199999998</v>
      </c>
      <c r="BW36" s="56">
        <f t="shared" si="124"/>
        <v>0</v>
      </c>
      <c r="BX36" s="56">
        <f t="shared" si="125"/>
        <v>7002.7501199999997</v>
      </c>
      <c r="BY36" s="61"/>
      <c r="BZ36" s="61"/>
      <c r="CA36" s="61"/>
      <c r="CB36" s="56">
        <f t="shared" si="126"/>
        <v>5394.5339999999997</v>
      </c>
      <c r="CC36" s="34">
        <f t="shared" si="127"/>
        <v>6474.5339999999997</v>
      </c>
    </row>
    <row r="37" spans="1:81">
      <c r="A37" s="30">
        <v>4</v>
      </c>
      <c r="B37" s="21" t="s">
        <v>10</v>
      </c>
      <c r="C37" s="22" t="s">
        <v>93</v>
      </c>
      <c r="D37" s="22" t="s">
        <v>94</v>
      </c>
      <c r="E37" s="4" t="s">
        <v>114</v>
      </c>
      <c r="F37" s="21"/>
      <c r="G37" s="30"/>
      <c r="H37" s="4" t="s">
        <v>114</v>
      </c>
      <c r="I37" s="47"/>
      <c r="J37" s="66"/>
      <c r="K37" s="105" t="s">
        <v>117</v>
      </c>
      <c r="L37" s="47"/>
      <c r="M37" s="47"/>
      <c r="N37" s="47"/>
      <c r="O37" s="22"/>
      <c r="P37" s="50"/>
      <c r="Q37" s="51"/>
      <c r="R37" s="52"/>
      <c r="S37" s="53"/>
      <c r="T37" s="54"/>
      <c r="U37" s="54"/>
      <c r="V37" s="22"/>
      <c r="W37" s="82"/>
      <c r="X37" s="55"/>
      <c r="Y37" s="22"/>
      <c r="Z37" s="83" t="s">
        <v>95</v>
      </c>
      <c r="AA37" s="24"/>
      <c r="AB37" s="24"/>
      <c r="AC37" s="56"/>
      <c r="AD37" s="26"/>
      <c r="AE37" s="27">
        <v>45962</v>
      </c>
      <c r="AF37" s="4">
        <v>9</v>
      </c>
      <c r="AG37" s="28"/>
      <c r="AH37" s="85"/>
      <c r="AI37" s="28"/>
      <c r="AJ37" s="30">
        <f t="shared" si="128"/>
        <v>12935</v>
      </c>
      <c r="AK37" s="30"/>
      <c r="AL37" s="31">
        <v>1028</v>
      </c>
      <c r="AM37" s="31"/>
      <c r="AN37" s="31"/>
      <c r="AO37" s="31"/>
      <c r="AP37" s="56">
        <f t="shared" si="105"/>
        <v>13963</v>
      </c>
      <c r="AQ37" s="56">
        <f t="shared" si="106"/>
        <v>4478</v>
      </c>
      <c r="AR37" s="56">
        <f t="shared" si="107"/>
        <v>0</v>
      </c>
      <c r="AS37" s="56">
        <f t="shared" si="108"/>
        <v>356</v>
      </c>
      <c r="AT37" s="56">
        <f t="shared" si="109"/>
        <v>0</v>
      </c>
      <c r="AU37" s="56"/>
      <c r="AV37" s="56">
        <f t="shared" si="110"/>
        <v>0</v>
      </c>
      <c r="AW37" s="56"/>
      <c r="AX37" s="56"/>
      <c r="AY37" s="56"/>
      <c r="AZ37" s="56"/>
      <c r="BA37" s="56"/>
      <c r="BB37" s="56"/>
      <c r="BC37" s="56"/>
      <c r="BD37" s="56"/>
      <c r="BE37" s="56">
        <f t="shared" si="111"/>
        <v>4834</v>
      </c>
      <c r="BF37" s="56">
        <f t="shared" si="112"/>
        <v>538</v>
      </c>
      <c r="BG37" s="56">
        <f t="shared" si="113"/>
        <v>37</v>
      </c>
      <c r="BH37" s="31">
        <v>0</v>
      </c>
      <c r="BI37" s="56"/>
      <c r="BJ37" s="59"/>
      <c r="BK37" s="56">
        <f t="shared" si="114"/>
        <v>0</v>
      </c>
      <c r="BL37" s="56">
        <f t="shared" si="115"/>
        <v>575</v>
      </c>
      <c r="BM37" s="56">
        <f t="shared" si="116"/>
        <v>4259</v>
      </c>
      <c r="BN37" s="56">
        <f t="shared" si="117"/>
        <v>583</v>
      </c>
      <c r="BO37" s="56">
        <f t="shared" si="118"/>
        <v>158</v>
      </c>
      <c r="BP37" s="56">
        <f t="shared" si="119"/>
        <v>373.01740000000001</v>
      </c>
      <c r="BQ37" s="22">
        <f t="shared" si="120"/>
        <v>122</v>
      </c>
      <c r="BR37" s="56"/>
      <c r="BS37" s="56"/>
      <c r="BT37" s="31">
        <f t="shared" si="121"/>
        <v>608</v>
      </c>
      <c r="BU37" s="56">
        <f t="shared" si="122"/>
        <v>6678.0173999999997</v>
      </c>
      <c r="BV37" s="56">
        <f t="shared" si="123"/>
        <v>1202.043132</v>
      </c>
      <c r="BW37" s="56">
        <f t="shared" si="124"/>
        <v>0</v>
      </c>
      <c r="BX37" s="56">
        <f t="shared" si="125"/>
        <v>7880.0605319999995</v>
      </c>
      <c r="BY37" s="61"/>
      <c r="BZ37" s="61"/>
      <c r="CA37" s="61"/>
      <c r="CB37" s="56">
        <f t="shared" si="126"/>
        <v>6070.0173999999997</v>
      </c>
      <c r="CC37" s="34">
        <f t="shared" si="127"/>
        <v>7286.0173999999997</v>
      </c>
    </row>
    <row r="38" spans="1:81">
      <c r="A38" s="30">
        <v>5</v>
      </c>
      <c r="B38" s="21" t="s">
        <v>10</v>
      </c>
      <c r="C38" s="22" t="s">
        <v>93</v>
      </c>
      <c r="D38" s="22" t="s">
        <v>94</v>
      </c>
      <c r="E38" s="4" t="s">
        <v>114</v>
      </c>
      <c r="F38" s="21"/>
      <c r="G38" s="30"/>
      <c r="H38" s="4" t="s">
        <v>114</v>
      </c>
      <c r="I38" s="47"/>
      <c r="J38" s="66"/>
      <c r="K38" s="103" t="s">
        <v>101</v>
      </c>
      <c r="L38" s="47"/>
      <c r="M38" s="47"/>
      <c r="N38" s="47"/>
      <c r="O38" s="22"/>
      <c r="P38" s="50"/>
      <c r="Q38" s="51"/>
      <c r="R38" s="52"/>
      <c r="S38" s="53"/>
      <c r="T38" s="54"/>
      <c r="U38" s="54"/>
      <c r="V38" s="22"/>
      <c r="W38" s="82"/>
      <c r="X38" s="55"/>
      <c r="Y38" s="22"/>
      <c r="Z38" s="83"/>
      <c r="AA38" s="24"/>
      <c r="AB38" s="24"/>
      <c r="AC38" s="56"/>
      <c r="AD38" s="26"/>
      <c r="AE38" s="27">
        <v>45962</v>
      </c>
      <c r="AF38" s="4">
        <v>10</v>
      </c>
      <c r="AG38" s="28"/>
      <c r="AH38" s="85"/>
      <c r="AI38" s="28"/>
      <c r="AJ38" s="30">
        <f t="shared" si="128"/>
        <v>12935</v>
      </c>
      <c r="AK38" s="30"/>
      <c r="AL38" s="31">
        <v>1028</v>
      </c>
      <c r="AM38" s="31"/>
      <c r="AN38" s="31"/>
      <c r="AO38" s="31"/>
      <c r="AP38" s="56">
        <f t="shared" si="105"/>
        <v>13963</v>
      </c>
      <c r="AQ38" s="56">
        <f t="shared" si="106"/>
        <v>4975</v>
      </c>
      <c r="AR38" s="56">
        <f t="shared" si="107"/>
        <v>0</v>
      </c>
      <c r="AS38" s="56">
        <f t="shared" si="108"/>
        <v>396</v>
      </c>
      <c r="AT38" s="56">
        <f t="shared" si="109"/>
        <v>0</v>
      </c>
      <c r="AU38" s="56"/>
      <c r="AV38" s="56">
        <f t="shared" si="110"/>
        <v>0</v>
      </c>
      <c r="AW38" s="56"/>
      <c r="AX38" s="56"/>
      <c r="AY38" s="56"/>
      <c r="AZ38" s="56"/>
      <c r="BA38" s="56"/>
      <c r="BB38" s="56"/>
      <c r="BC38" s="56"/>
      <c r="BD38" s="56"/>
      <c r="BE38" s="56">
        <f t="shared" si="111"/>
        <v>5371</v>
      </c>
      <c r="BF38" s="56">
        <f t="shared" si="112"/>
        <v>597</v>
      </c>
      <c r="BG38" s="56">
        <f t="shared" si="113"/>
        <v>41</v>
      </c>
      <c r="BH38" s="31">
        <v>0</v>
      </c>
      <c r="BI38" s="56"/>
      <c r="BJ38" s="59"/>
      <c r="BK38" s="56">
        <f t="shared" si="114"/>
        <v>0</v>
      </c>
      <c r="BL38" s="56">
        <f t="shared" si="115"/>
        <v>638</v>
      </c>
      <c r="BM38" s="56">
        <f t="shared" si="116"/>
        <v>4733</v>
      </c>
      <c r="BN38" s="56">
        <f t="shared" si="117"/>
        <v>647</v>
      </c>
      <c r="BO38" s="56">
        <f t="shared" si="118"/>
        <v>175</v>
      </c>
      <c r="BP38" s="56">
        <f t="shared" si="119"/>
        <v>414.41750000000002</v>
      </c>
      <c r="BQ38" s="22">
        <f t="shared" si="120"/>
        <v>135</v>
      </c>
      <c r="BR38" s="56"/>
      <c r="BS38" s="56"/>
      <c r="BT38" s="31">
        <f t="shared" si="121"/>
        <v>675</v>
      </c>
      <c r="BU38" s="56">
        <f t="shared" si="122"/>
        <v>7417.4174999999996</v>
      </c>
      <c r="BV38" s="56">
        <f t="shared" si="123"/>
        <v>1335.1351499999998</v>
      </c>
      <c r="BW38" s="56">
        <f t="shared" si="124"/>
        <v>0</v>
      </c>
      <c r="BX38" s="56">
        <f t="shared" si="125"/>
        <v>8752.5526499999996</v>
      </c>
      <c r="BY38" s="61"/>
      <c r="BZ38" s="61"/>
      <c r="CA38" s="61"/>
      <c r="CB38" s="56">
        <f t="shared" si="126"/>
        <v>6742.4174999999996</v>
      </c>
      <c r="CC38" s="34">
        <f t="shared" si="127"/>
        <v>8092.4174999999996</v>
      </c>
    </row>
    <row r="39" spans="1:81">
      <c r="A39" s="30"/>
      <c r="B39" s="21"/>
      <c r="C39" s="22"/>
      <c r="D39" s="22"/>
      <c r="E39" s="4"/>
      <c r="F39" s="21"/>
      <c r="G39" s="30"/>
      <c r="H39" s="4"/>
      <c r="I39" s="47"/>
      <c r="J39" s="66"/>
      <c r="K39" s="100"/>
      <c r="L39" s="47"/>
      <c r="M39" s="47"/>
      <c r="N39" s="47"/>
      <c r="O39" s="22"/>
      <c r="P39" s="50"/>
      <c r="Q39" s="51"/>
      <c r="R39" s="52"/>
      <c r="S39" s="53"/>
      <c r="T39" s="54"/>
      <c r="U39" s="54"/>
      <c r="V39" s="22"/>
      <c r="W39" s="82"/>
      <c r="X39" s="55"/>
      <c r="Y39" s="22"/>
      <c r="Z39" s="83"/>
      <c r="AA39" s="24"/>
      <c r="AB39" s="24"/>
      <c r="AC39" s="56"/>
      <c r="AD39" s="26"/>
      <c r="AE39" s="27"/>
      <c r="AF39" s="4"/>
      <c r="AG39" s="28"/>
      <c r="AH39" s="85"/>
      <c r="AI39" s="28"/>
      <c r="AJ39" s="30"/>
      <c r="AK39" s="30"/>
      <c r="AL39" s="31"/>
      <c r="AM39" s="31"/>
      <c r="AN39" s="31"/>
      <c r="AO39" s="31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31"/>
      <c r="BI39" s="56"/>
      <c r="BJ39" s="59"/>
      <c r="BK39" s="56"/>
      <c r="BL39" s="56"/>
      <c r="BM39" s="56"/>
      <c r="BN39" s="56"/>
      <c r="BO39" s="56"/>
      <c r="BP39" s="56"/>
      <c r="BQ39" s="22"/>
      <c r="BR39" s="56"/>
      <c r="BS39" s="56"/>
      <c r="BT39" s="31"/>
      <c r="BU39" s="56"/>
      <c r="BV39" s="56"/>
      <c r="BW39" s="56"/>
      <c r="BX39" s="56"/>
      <c r="BY39" s="61"/>
      <c r="BZ39" s="61"/>
      <c r="CA39" s="61"/>
      <c r="CB39" s="56"/>
      <c r="CC39" s="34">
        <f t="shared" si="127"/>
        <v>0</v>
      </c>
    </row>
    <row r="40" spans="1:81">
      <c r="A40" s="30"/>
      <c r="B40" s="21"/>
      <c r="C40" s="22"/>
      <c r="D40" s="22"/>
      <c r="E40" s="4"/>
      <c r="F40" s="21"/>
      <c r="G40" s="30"/>
      <c r="H40" s="4"/>
      <c r="I40" s="47"/>
      <c r="J40" s="66"/>
      <c r="K40" s="100"/>
      <c r="L40" s="47"/>
      <c r="M40" s="47"/>
      <c r="N40" s="47"/>
      <c r="O40" s="22"/>
      <c r="P40" s="50"/>
      <c r="Q40" s="51"/>
      <c r="R40" s="52"/>
      <c r="S40" s="53"/>
      <c r="T40" s="54"/>
      <c r="U40" s="54"/>
      <c r="V40" s="22"/>
      <c r="W40" s="82"/>
      <c r="X40" s="55"/>
      <c r="Y40" s="22"/>
      <c r="Z40" s="83"/>
      <c r="AA40" s="24"/>
      <c r="AB40" s="24"/>
      <c r="AC40" s="56"/>
      <c r="AD40" s="26"/>
      <c r="AE40" s="27"/>
      <c r="AF40" s="4"/>
      <c r="AG40" s="28"/>
      <c r="AH40" s="85"/>
      <c r="AI40" s="28"/>
      <c r="AJ40" s="30"/>
      <c r="AK40" s="30"/>
      <c r="AL40" s="31"/>
      <c r="AM40" s="31"/>
      <c r="AN40" s="31"/>
      <c r="AO40" s="31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31"/>
      <c r="BI40" s="56"/>
      <c r="BJ40" s="59"/>
      <c r="BK40" s="56"/>
      <c r="BL40" s="56"/>
      <c r="BM40" s="56"/>
      <c r="BN40" s="56"/>
      <c r="BO40" s="56"/>
      <c r="BP40" s="56"/>
      <c r="BQ40" s="22"/>
      <c r="BR40" s="56"/>
      <c r="BS40" s="56"/>
      <c r="BT40" s="31"/>
      <c r="BU40" s="56"/>
      <c r="BV40" s="56"/>
      <c r="BW40" s="56"/>
      <c r="BX40" s="56"/>
      <c r="BY40" s="61"/>
      <c r="BZ40" s="61"/>
      <c r="CA40" s="61"/>
      <c r="CB40" s="56"/>
      <c r="CC40" s="34">
        <f t="shared" si="127"/>
        <v>0</v>
      </c>
    </row>
    <row r="41" spans="1:81" ht="13.9" thickBot="1">
      <c r="F41" s="86"/>
      <c r="G41" s="87"/>
      <c r="H41" s="88"/>
      <c r="I41" s="89"/>
      <c r="J41" s="90"/>
      <c r="K41" s="91"/>
      <c r="L41" s="89"/>
      <c r="M41" s="89"/>
      <c r="N41" s="89"/>
      <c r="O41" s="88"/>
      <c r="P41" s="92"/>
      <c r="Q41" s="93"/>
      <c r="R41" s="94"/>
      <c r="S41" s="95"/>
      <c r="T41" s="95"/>
      <c r="U41" s="95"/>
      <c r="V41" s="88"/>
      <c r="W41" s="88"/>
      <c r="X41" s="96"/>
      <c r="Y41" s="88"/>
      <c r="Z41" s="91"/>
      <c r="AA41" s="88"/>
      <c r="AB41" s="88"/>
      <c r="AC41" s="97"/>
      <c r="AD41" s="98"/>
      <c r="AE41" s="99"/>
      <c r="AF41" s="102">
        <f>SUM(AF33:AF40)</f>
        <v>50</v>
      </c>
      <c r="AG41" s="81">
        <f>SUM(AG19:AG40)</f>
        <v>0</v>
      </c>
      <c r="AH41" s="81">
        <f>SUM(AH19:AH40)</f>
        <v>0</v>
      </c>
      <c r="AI41" s="81">
        <f>SUM(AI19:AI40)</f>
        <v>0</v>
      </c>
      <c r="AJ41" s="81">
        <f t="shared" ref="AJ41:CB41" si="129">SUM(AJ33:AJ40)</f>
        <v>64675</v>
      </c>
      <c r="AK41" s="81">
        <f t="shared" si="129"/>
        <v>0</v>
      </c>
      <c r="AL41" s="81">
        <f t="shared" si="129"/>
        <v>5140</v>
      </c>
      <c r="AM41" s="81">
        <f t="shared" si="129"/>
        <v>0</v>
      </c>
      <c r="AN41" s="81">
        <f t="shared" si="129"/>
        <v>0</v>
      </c>
      <c r="AO41" s="81">
        <f t="shared" si="129"/>
        <v>0</v>
      </c>
      <c r="AP41" s="81">
        <f t="shared" si="129"/>
        <v>69815</v>
      </c>
      <c r="AQ41" s="81">
        <f t="shared" si="129"/>
        <v>24876</v>
      </c>
      <c r="AR41" s="81">
        <f t="shared" si="129"/>
        <v>0</v>
      </c>
      <c r="AS41" s="81">
        <f t="shared" si="129"/>
        <v>1980</v>
      </c>
      <c r="AT41" s="81">
        <f t="shared" si="129"/>
        <v>0</v>
      </c>
      <c r="AU41" s="81">
        <f t="shared" si="129"/>
        <v>0</v>
      </c>
      <c r="AV41" s="81">
        <f t="shared" si="129"/>
        <v>0</v>
      </c>
      <c r="AW41" s="81">
        <f t="shared" si="129"/>
        <v>0</v>
      </c>
      <c r="AX41" s="81">
        <f t="shared" si="129"/>
        <v>0</v>
      </c>
      <c r="AY41" s="81">
        <f t="shared" si="129"/>
        <v>0</v>
      </c>
      <c r="AZ41" s="81">
        <f t="shared" si="129"/>
        <v>0</v>
      </c>
      <c r="BA41" s="81">
        <f t="shared" si="129"/>
        <v>0</v>
      </c>
      <c r="BB41" s="81">
        <f t="shared" si="129"/>
        <v>0</v>
      </c>
      <c r="BC41" s="81">
        <f t="shared" si="129"/>
        <v>0</v>
      </c>
      <c r="BD41" s="81">
        <f t="shared" si="129"/>
        <v>0</v>
      </c>
      <c r="BE41" s="81">
        <f t="shared" si="129"/>
        <v>26856</v>
      </c>
      <c r="BF41" s="81">
        <f t="shared" si="129"/>
        <v>2987</v>
      </c>
      <c r="BG41" s="81">
        <f t="shared" si="129"/>
        <v>205</v>
      </c>
      <c r="BH41" s="81">
        <f t="shared" si="129"/>
        <v>200</v>
      </c>
      <c r="BI41" s="81">
        <f t="shared" si="129"/>
        <v>0</v>
      </c>
      <c r="BJ41" s="81">
        <f t="shared" si="129"/>
        <v>0</v>
      </c>
      <c r="BK41" s="81">
        <f t="shared" si="129"/>
        <v>0</v>
      </c>
      <c r="BL41" s="81">
        <f t="shared" si="129"/>
        <v>3392</v>
      </c>
      <c r="BM41" s="81">
        <f t="shared" si="129"/>
        <v>23464</v>
      </c>
      <c r="BN41" s="81">
        <f t="shared" si="129"/>
        <v>3237</v>
      </c>
      <c r="BO41" s="81">
        <f t="shared" si="129"/>
        <v>875</v>
      </c>
      <c r="BP41" s="81">
        <f t="shared" si="129"/>
        <v>2072.1707999999999</v>
      </c>
      <c r="BQ41" s="81">
        <f t="shared" si="129"/>
        <v>675</v>
      </c>
      <c r="BR41" s="81">
        <f t="shared" si="129"/>
        <v>0</v>
      </c>
      <c r="BS41" s="81">
        <f t="shared" si="129"/>
        <v>0</v>
      </c>
      <c r="BT41" s="81">
        <f t="shared" si="129"/>
        <v>3375</v>
      </c>
      <c r="BU41" s="81">
        <f t="shared" si="129"/>
        <v>37090.1708</v>
      </c>
      <c r="BV41" s="81">
        <f t="shared" si="129"/>
        <v>6676.2307439999995</v>
      </c>
      <c r="BW41" s="81">
        <f t="shared" si="129"/>
        <v>0</v>
      </c>
      <c r="BX41" s="81">
        <f t="shared" si="129"/>
        <v>43766.401544</v>
      </c>
      <c r="BY41" s="81">
        <f t="shared" si="129"/>
        <v>0</v>
      </c>
      <c r="BZ41" s="81">
        <f t="shared" si="129"/>
        <v>0</v>
      </c>
      <c r="CA41" s="81">
        <f t="shared" si="129"/>
        <v>0</v>
      </c>
      <c r="CB41" s="81">
        <f t="shared" si="129"/>
        <v>33715.1708</v>
      </c>
      <c r="CC41" s="62"/>
    </row>
    <row r="42" spans="1:81">
      <c r="BU42" s="113">
        <f>BU41+BU32+BU21+BU14+BU7</f>
        <v>182332.087</v>
      </c>
      <c r="BV42" s="113">
        <f t="shared" ref="BV42:BX42" si="130">BV41+BV32+BV21+BV14+BV7</f>
        <v>32819.775659999999</v>
      </c>
      <c r="BW42" s="113">
        <f t="shared" si="130"/>
        <v>0</v>
      </c>
      <c r="BX42" s="113">
        <f t="shared" si="130"/>
        <v>215151.86265999998</v>
      </c>
    </row>
  </sheetData>
  <mergeCells count="2">
    <mergeCell ref="AJ1:AP1"/>
    <mergeCell ref="BF1:BL1"/>
  </mergeCells>
  <conditionalFormatting sqref="I1:I2">
    <cfRule type="duplicateValues" dxfId="85" priority="57"/>
    <cfRule type="duplicateValues" dxfId="84" priority="61"/>
  </conditionalFormatting>
  <conditionalFormatting sqref="I3">
    <cfRule type="duplicateValues" dxfId="83" priority="66"/>
  </conditionalFormatting>
  <conditionalFormatting sqref="I5:I6">
    <cfRule type="duplicateValues" dxfId="82" priority="36"/>
  </conditionalFormatting>
  <conditionalFormatting sqref="I7">
    <cfRule type="duplicateValues" dxfId="81" priority="50"/>
  </conditionalFormatting>
  <conditionalFormatting sqref="I11:I13">
    <cfRule type="duplicateValues" dxfId="80" priority="69"/>
  </conditionalFormatting>
  <conditionalFormatting sqref="I14">
    <cfRule type="duplicateValues" dxfId="79" priority="42"/>
  </conditionalFormatting>
  <conditionalFormatting sqref="I17:I20">
    <cfRule type="duplicateValues" dxfId="78" priority="75"/>
  </conditionalFormatting>
  <conditionalFormatting sqref="I21">
    <cfRule type="duplicateValues" dxfId="77" priority="33"/>
  </conditionalFormatting>
  <conditionalFormatting sqref="I24:I31">
    <cfRule type="duplicateValues" dxfId="76" priority="81"/>
  </conditionalFormatting>
  <conditionalFormatting sqref="I32">
    <cfRule type="duplicateValues" dxfId="75" priority="23"/>
  </conditionalFormatting>
  <conditionalFormatting sqref="J1 J3">
    <cfRule type="duplicateValues" dxfId="74" priority="63"/>
  </conditionalFormatting>
  <conditionalFormatting sqref="J1">
    <cfRule type="duplicateValues" dxfId="73" priority="56"/>
    <cfRule type="duplicateValues" dxfId="72" priority="62"/>
  </conditionalFormatting>
  <conditionalFormatting sqref="J3">
    <cfRule type="duplicateValues" dxfId="71" priority="59"/>
  </conditionalFormatting>
  <conditionalFormatting sqref="J5:J6">
    <cfRule type="duplicateValues" dxfId="70" priority="26"/>
  </conditionalFormatting>
  <conditionalFormatting sqref="J7">
    <cfRule type="duplicateValues" dxfId="69" priority="45"/>
    <cfRule type="duplicateValues" dxfId="68" priority="47"/>
    <cfRule type="duplicateValues" dxfId="67" priority="48"/>
  </conditionalFormatting>
  <conditionalFormatting sqref="J11:J13">
    <cfRule type="duplicateValues" dxfId="66" priority="70"/>
  </conditionalFormatting>
  <conditionalFormatting sqref="J14">
    <cfRule type="duplicateValues" dxfId="65" priority="37"/>
    <cfRule type="duplicateValues" dxfId="64" priority="39"/>
    <cfRule type="duplicateValues" dxfId="63" priority="40"/>
  </conditionalFormatting>
  <conditionalFormatting sqref="J17:J20">
    <cfRule type="duplicateValues" dxfId="62" priority="76"/>
  </conditionalFormatting>
  <conditionalFormatting sqref="J21">
    <cfRule type="duplicateValues" dxfId="61" priority="28"/>
    <cfRule type="duplicateValues" dxfId="60" priority="30"/>
    <cfRule type="duplicateValues" dxfId="59" priority="31"/>
  </conditionalFormatting>
  <conditionalFormatting sqref="J24:J31">
    <cfRule type="duplicateValues" dxfId="58" priority="82"/>
  </conditionalFormatting>
  <conditionalFormatting sqref="J32">
    <cfRule type="duplicateValues" dxfId="57" priority="18"/>
    <cfRule type="duplicateValues" dxfId="56" priority="20"/>
    <cfRule type="duplicateValues" dxfId="55" priority="21"/>
  </conditionalFormatting>
  <conditionalFormatting sqref="K3">
    <cfRule type="duplicateValues" dxfId="54" priority="58"/>
  </conditionalFormatting>
  <conditionalFormatting sqref="K5:K6">
    <cfRule type="duplicateValues" dxfId="53" priority="27"/>
  </conditionalFormatting>
  <conditionalFormatting sqref="K7">
    <cfRule type="duplicateValues" dxfId="52" priority="46"/>
  </conditionalFormatting>
  <conditionalFormatting sqref="K11:K13">
    <cfRule type="duplicateValues" dxfId="51" priority="71"/>
  </conditionalFormatting>
  <conditionalFormatting sqref="K14">
    <cfRule type="duplicateValues" dxfId="50" priority="38"/>
  </conditionalFormatting>
  <conditionalFormatting sqref="K17 K19:K20">
    <cfRule type="duplicateValues" dxfId="49" priority="77"/>
  </conditionalFormatting>
  <conditionalFormatting sqref="K18">
    <cfRule type="duplicateValues" dxfId="48" priority="16"/>
  </conditionalFormatting>
  <conditionalFormatting sqref="K21">
    <cfRule type="duplicateValues" dxfId="47" priority="29"/>
  </conditionalFormatting>
  <conditionalFormatting sqref="K24">
    <cfRule type="duplicateValues" dxfId="46" priority="17"/>
  </conditionalFormatting>
  <conditionalFormatting sqref="K25:K31">
    <cfRule type="duplicateValues" dxfId="45" priority="87"/>
  </conditionalFormatting>
  <conditionalFormatting sqref="K32">
    <cfRule type="duplicateValues" dxfId="44" priority="19"/>
  </conditionalFormatting>
  <conditionalFormatting sqref="K7:N7">
    <cfRule type="duplicateValues" dxfId="43" priority="49"/>
  </conditionalFormatting>
  <conditionalFormatting sqref="K14:N14">
    <cfRule type="duplicateValues" dxfId="42" priority="41"/>
  </conditionalFormatting>
  <conditionalFormatting sqref="K21:N21">
    <cfRule type="duplicateValues" dxfId="41" priority="32"/>
  </conditionalFormatting>
  <conditionalFormatting sqref="K32:N32">
    <cfRule type="duplicateValues" dxfId="40" priority="22"/>
  </conditionalFormatting>
  <conditionalFormatting sqref="L3:N3">
    <cfRule type="duplicateValues" dxfId="39" priority="60"/>
  </conditionalFormatting>
  <conditionalFormatting sqref="L5:N6">
    <cfRule type="duplicateValues" dxfId="38" priority="53"/>
  </conditionalFormatting>
  <conditionalFormatting sqref="L11:N13">
    <cfRule type="duplicateValues" dxfId="37" priority="72"/>
  </conditionalFormatting>
  <conditionalFormatting sqref="L17:N20">
    <cfRule type="duplicateValues" dxfId="36" priority="78"/>
  </conditionalFormatting>
  <conditionalFormatting sqref="L24:N31">
    <cfRule type="duplicateValues" dxfId="35" priority="84"/>
  </conditionalFormatting>
  <conditionalFormatting sqref="AA1:AA2">
    <cfRule type="duplicateValues" dxfId="34" priority="64"/>
  </conditionalFormatting>
  <conditionalFormatting sqref="AA3">
    <cfRule type="duplicateValues" dxfId="33" priority="67"/>
  </conditionalFormatting>
  <conditionalFormatting sqref="AA5:AA6">
    <cfRule type="duplicateValues" dxfId="32" priority="54"/>
  </conditionalFormatting>
  <conditionalFormatting sqref="AA7">
    <cfRule type="duplicateValues" dxfId="31" priority="51"/>
  </conditionalFormatting>
  <conditionalFormatting sqref="AA11:AA13">
    <cfRule type="duplicateValues" dxfId="30" priority="73"/>
  </conditionalFormatting>
  <conditionalFormatting sqref="AA14">
    <cfRule type="duplicateValues" dxfId="29" priority="43"/>
  </conditionalFormatting>
  <conditionalFormatting sqref="AA17:AA20">
    <cfRule type="duplicateValues" dxfId="28" priority="79"/>
  </conditionalFormatting>
  <conditionalFormatting sqref="AA21">
    <cfRule type="duplicateValues" dxfId="27" priority="34"/>
  </conditionalFormatting>
  <conditionalFormatting sqref="AA24:AA31">
    <cfRule type="duplicateValues" dxfId="26" priority="85"/>
  </conditionalFormatting>
  <conditionalFormatting sqref="AA32">
    <cfRule type="duplicateValues" dxfId="25" priority="24"/>
  </conditionalFormatting>
  <conditionalFormatting sqref="AB1:AB2">
    <cfRule type="duplicateValues" dxfId="24" priority="65"/>
  </conditionalFormatting>
  <conditionalFormatting sqref="AB3">
    <cfRule type="duplicateValues" dxfId="23" priority="68"/>
  </conditionalFormatting>
  <conditionalFormatting sqref="AB5:AB6">
    <cfRule type="duplicateValues" dxfId="22" priority="55"/>
  </conditionalFormatting>
  <conditionalFormatting sqref="AB7">
    <cfRule type="duplicateValues" dxfId="21" priority="52"/>
  </conditionalFormatting>
  <conditionalFormatting sqref="AB11:AB13">
    <cfRule type="duplicateValues" dxfId="20" priority="74"/>
  </conditionalFormatting>
  <conditionalFormatting sqref="AB14">
    <cfRule type="duplicateValues" dxfId="19" priority="44"/>
  </conditionalFormatting>
  <conditionalFormatting sqref="AB17:AB20">
    <cfRule type="duplicateValues" dxfId="18" priority="80"/>
  </conditionalFormatting>
  <conditionalFormatting sqref="AB21">
    <cfRule type="duplicateValues" dxfId="17" priority="35"/>
  </conditionalFormatting>
  <conditionalFormatting sqref="AB24:AB31">
    <cfRule type="duplicateValues" dxfId="16" priority="86"/>
  </conditionalFormatting>
  <conditionalFormatting sqref="AB32">
    <cfRule type="duplicateValues" dxfId="15" priority="25"/>
  </conditionalFormatting>
  <conditionalFormatting sqref="I33:I40">
    <cfRule type="duplicateValues" dxfId="14" priority="10"/>
  </conditionalFormatting>
  <conditionalFormatting sqref="I41">
    <cfRule type="duplicateValues" dxfId="13" priority="7"/>
  </conditionalFormatting>
  <conditionalFormatting sqref="J33:J40">
    <cfRule type="duplicateValues" dxfId="12" priority="11"/>
  </conditionalFormatting>
  <conditionalFormatting sqref="J41">
    <cfRule type="duplicateValues" dxfId="11" priority="2"/>
    <cfRule type="duplicateValues" dxfId="10" priority="4"/>
    <cfRule type="duplicateValues" dxfId="9" priority="5"/>
  </conditionalFormatting>
  <conditionalFormatting sqref="K33">
    <cfRule type="duplicateValues" dxfId="8" priority="1"/>
  </conditionalFormatting>
  <conditionalFormatting sqref="K34:K40">
    <cfRule type="duplicateValues" dxfId="7" priority="15"/>
  </conditionalFormatting>
  <conditionalFormatting sqref="K41">
    <cfRule type="duplicateValues" dxfId="6" priority="3"/>
  </conditionalFormatting>
  <conditionalFormatting sqref="K41:N41">
    <cfRule type="duplicateValues" dxfId="5" priority="6"/>
  </conditionalFormatting>
  <conditionalFormatting sqref="L33:N40">
    <cfRule type="duplicateValues" dxfId="4" priority="12"/>
  </conditionalFormatting>
  <conditionalFormatting sqref="AA33:AA40">
    <cfRule type="duplicateValues" dxfId="3" priority="13"/>
  </conditionalFormatting>
  <conditionalFormatting sqref="AA41">
    <cfRule type="duplicateValues" dxfId="2" priority="8"/>
  </conditionalFormatting>
  <conditionalFormatting sqref="AB33:AB40">
    <cfRule type="duplicateValues" dxfId="1" priority="14"/>
  </conditionalFormatting>
  <conditionalFormatting sqref="AB41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</vt:lpstr>
      <vt:lpstr>Pay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khelavneshivam.ravibhai@bigbasket.com</dc:creator>
  <cp:lastModifiedBy>admin</cp:lastModifiedBy>
  <dcterms:created xsi:type="dcterms:W3CDTF">2025-10-28T13:14:05Z</dcterms:created>
  <dcterms:modified xsi:type="dcterms:W3CDTF">2025-12-05T13:51:38Z</dcterms:modified>
</cp:coreProperties>
</file>